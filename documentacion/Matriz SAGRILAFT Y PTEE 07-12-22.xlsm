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LE LAWYERS ENTERPRISE\C. cio SM\ENTREGABLES\"/>
    </mc:Choice>
  </mc:AlternateContent>
  <xr:revisionPtr revIDLastSave="0" documentId="13_ncr:1_{015935B7-7AF3-4733-8841-646FA5C8A8F2}" xr6:coauthVersionLast="47" xr6:coauthVersionMax="47" xr10:uidLastSave="{00000000-0000-0000-0000-000000000000}"/>
  <bookViews>
    <workbookView xWindow="-120" yWindow="-120" windowWidth="20730" windowHeight="11160" tabRatio="766" xr2:uid="{00000000-000D-0000-FFFF-FFFF00000000}"/>
  </bookViews>
  <sheets>
    <sheet name="Identificación y ValoraciónLAFT" sheetId="1" r:id="rId1"/>
    <sheet name="Matriz de Riesgos" sheetId="11" r:id="rId2"/>
    <sheet name="Matriz de Controles" sheetId="12" r:id="rId3"/>
    <sheet name="Mapa de Riesgo Inherente" sheetId="19" r:id="rId4"/>
    <sheet name="Mapa de Riesgo Residual" sheetId="18" r:id="rId5"/>
    <sheet name="Parametros" sheetId="9" r:id="rId6"/>
    <sheet name="Escala Calificacion" sheetId="7" r:id="rId7"/>
    <sheet name="Formato Riesgos" sheetId="13" r:id="rId8"/>
    <sheet name="Formato Controles" sheetId="14" r:id="rId9"/>
    <sheet name="RI LAFT" sheetId="16" r:id="rId10"/>
    <sheet name="RR LAFT" sheetId="17" r:id="rId11"/>
  </sheets>
  <definedNames>
    <definedName name="_xlnm._FilterDatabase" localSheetId="9" hidden="1">'RI LAFT'!$B$4:$G$54</definedName>
    <definedName name="_xlnm._FilterDatabase" localSheetId="10" hidden="1">'RR LAFT'!$B$4:$G$54</definedName>
    <definedName name="AgenteGenerador">Parametros!$H$2:$H$5</definedName>
    <definedName name="Alcance">'Escala Calificacion'!$H$2:$I$4</definedName>
    <definedName name="Causas">Parametros!$B$2:$B$30</definedName>
    <definedName name="Comprensible">'Escala Calificacion'!$N$2:$O$3</definedName>
    <definedName name="Conforme">'Escala Calificacion'!$R$2:$S$3</definedName>
    <definedName name="Consecuencias">Parametros!$W$2:$W$15</definedName>
    <definedName name="Documentado">'Escala Calificacion'!$P$2:$Q$3</definedName>
    <definedName name="Economico">'Escala Calificacion'!$L$2:$M$4</definedName>
    <definedName name="Efectividad">'Identificación y ValoraciónLAFT'!$AB$23</definedName>
    <definedName name="EfectividadDetec">'Identificación y ValoraciónLAFT'!$AA$23</definedName>
    <definedName name="EfectividadPrev">'Identificación y ValoraciónLAFT'!$Z$23</definedName>
    <definedName name="Factor_Especifico">Parametros!$N$2:$N$8</definedName>
    <definedName name="Frecuencia">'Escala Calificacion'!$V$2:$W$3</definedName>
    <definedName name="Impacto">'Escala Calificacion'!$D$3:$E$5</definedName>
    <definedName name="Implementacion">'Identificación y ValoraciónLAFT'!$G$23:$G$27</definedName>
    <definedName name="Indicadores">'Escala Calificacion'!$T$2:$U$3</definedName>
    <definedName name="NivelRiesgo">'Escala Calificacion'!$A$8:$B$10</definedName>
    <definedName name="NumeroRiesgos">Parametros!$Z$2:$Z$46</definedName>
    <definedName name="Objetivo">'Escala Calificacion'!$J$2:$K$3</definedName>
    <definedName name="Probabilidad">'Escala Calificacion'!$A$3:$B$5</definedName>
    <definedName name="Procesos">Parametros!$K$2:$K$35</definedName>
    <definedName name="ProcesosCOD">Parametros!$K$2:$L$35</definedName>
    <definedName name="Relacionados">Parametros!$E$2:$E$5</definedName>
    <definedName name="Responsables">'Escala Calificacion'!$X$2:$Y$3</definedName>
    <definedName name="RiesgoAsociado">Parametros!$T$2:$T$5</definedName>
    <definedName name="Riesgos">Parametros!$Q$2:$Q$43</definedName>
    <definedName name="TipoControl">'Identificación y ValoraciónLAFT'!$K$23:$K$27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" i="1" l="1"/>
  <c r="V9" i="1"/>
  <c r="X8" i="1"/>
  <c r="X9" i="1" s="1"/>
  <c r="E6" i="17" l="1"/>
  <c r="D6" i="17"/>
  <c r="C6" i="17"/>
  <c r="B6" i="17"/>
  <c r="E5" i="17"/>
  <c r="D5" i="17"/>
  <c r="C5" i="17"/>
  <c r="B5" i="17"/>
  <c r="E6" i="16"/>
  <c r="D6" i="16"/>
  <c r="C6" i="16"/>
  <c r="B6" i="16"/>
  <c r="E5" i="16"/>
  <c r="D5" i="16"/>
  <c r="C5" i="16"/>
  <c r="B5" i="16"/>
  <c r="H7" i="17"/>
  <c r="H8" i="17" s="1"/>
  <c r="E8" i="17" s="1"/>
  <c r="H7" i="16"/>
  <c r="E7" i="16" s="1"/>
  <c r="H8" i="16" l="1"/>
  <c r="H9" i="16" s="1"/>
  <c r="B7" i="16"/>
  <c r="B7" i="17"/>
  <c r="E13" i="19" s="1"/>
  <c r="C9" i="16"/>
  <c r="F13" i="19"/>
  <c r="D7" i="16"/>
  <c r="G7" i="16" s="1"/>
  <c r="D9" i="16"/>
  <c r="D7" i="17"/>
  <c r="E9" i="16"/>
  <c r="E7" i="17"/>
  <c r="B8" i="16"/>
  <c r="B8" i="17"/>
  <c r="E14" i="19" s="1"/>
  <c r="C8" i="16"/>
  <c r="C8" i="17"/>
  <c r="F14" i="19" s="1"/>
  <c r="D8" i="16"/>
  <c r="D8" i="17"/>
  <c r="E8" i="16"/>
  <c r="F12" i="18"/>
  <c r="F12" i="19"/>
  <c r="F11" i="18"/>
  <c r="F11" i="19"/>
  <c r="E11" i="18"/>
  <c r="E11" i="19"/>
  <c r="E12" i="18"/>
  <c r="E12" i="19"/>
  <c r="F5" i="17"/>
  <c r="G5" i="17"/>
  <c r="G6" i="17"/>
  <c r="H9" i="17"/>
  <c r="F6" i="17"/>
  <c r="G5" i="16"/>
  <c r="F5" i="16"/>
  <c r="F6" i="16"/>
  <c r="G6" i="16"/>
  <c r="G8" i="16" l="1"/>
  <c r="AF8" i="16" s="1"/>
  <c r="E13" i="18"/>
  <c r="F14" i="18"/>
  <c r="F8" i="16"/>
  <c r="F9" i="16"/>
  <c r="G7" i="17"/>
  <c r="AE7" i="17" s="1"/>
  <c r="H10" i="16"/>
  <c r="B9" i="16"/>
  <c r="G9" i="16"/>
  <c r="T9" i="16" s="1"/>
  <c r="B9" i="17"/>
  <c r="E15" i="19" s="1"/>
  <c r="E9" i="17"/>
  <c r="D9" i="17"/>
  <c r="C9" i="17"/>
  <c r="F15" i="19" s="1"/>
  <c r="F7" i="16"/>
  <c r="F7" i="17"/>
  <c r="E14" i="18"/>
  <c r="AH7" i="16"/>
  <c r="AD7" i="16"/>
  <c r="Z7" i="16"/>
  <c r="V7" i="16"/>
  <c r="R7" i="16"/>
  <c r="N7" i="16"/>
  <c r="AG7" i="16"/>
  <c r="AC7" i="16"/>
  <c r="Y7" i="16"/>
  <c r="U7" i="16"/>
  <c r="Q7" i="16"/>
  <c r="M7" i="16"/>
  <c r="AF7" i="16"/>
  <c r="AB7" i="16"/>
  <c r="X7" i="16"/>
  <c r="T7" i="16"/>
  <c r="P7" i="16"/>
  <c r="L7" i="16"/>
  <c r="AA7" i="16"/>
  <c r="K7" i="16"/>
  <c r="W7" i="16"/>
  <c r="AI7" i="16"/>
  <c r="S7" i="16"/>
  <c r="AE7" i="16"/>
  <c r="O7" i="16"/>
  <c r="AI6" i="16"/>
  <c r="AE6" i="16"/>
  <c r="AA6" i="16"/>
  <c r="W6" i="16"/>
  <c r="S6" i="16"/>
  <c r="O6" i="16"/>
  <c r="K6" i="16"/>
  <c r="AH6" i="16"/>
  <c r="AD6" i="16"/>
  <c r="Z6" i="16"/>
  <c r="V6" i="16"/>
  <c r="R6" i="16"/>
  <c r="N6" i="16"/>
  <c r="AG6" i="16"/>
  <c r="AC6" i="16"/>
  <c r="Y6" i="16"/>
  <c r="U6" i="16"/>
  <c r="Q6" i="16"/>
  <c r="M6" i="16"/>
  <c r="T6" i="16"/>
  <c r="AF6" i="16"/>
  <c r="P6" i="16"/>
  <c r="AB6" i="16"/>
  <c r="L6" i="16"/>
  <c r="X6" i="16"/>
  <c r="AF5" i="16"/>
  <c r="AB5" i="16"/>
  <c r="X5" i="16"/>
  <c r="T5" i="16"/>
  <c r="P5" i="16"/>
  <c r="L5" i="16"/>
  <c r="AI5" i="16"/>
  <c r="AE5" i="16"/>
  <c r="AA5" i="16"/>
  <c r="W5" i="16"/>
  <c r="S5" i="16"/>
  <c r="O5" i="16"/>
  <c r="K5" i="16"/>
  <c r="AH5" i="16"/>
  <c r="AD5" i="16"/>
  <c r="Z5" i="16"/>
  <c r="V5" i="16"/>
  <c r="R5" i="16"/>
  <c r="N5" i="16"/>
  <c r="AC5" i="16"/>
  <c r="M5" i="16"/>
  <c r="Y5" i="16"/>
  <c r="U5" i="16"/>
  <c r="AG5" i="16"/>
  <c r="Q5" i="16"/>
  <c r="AE5" i="17"/>
  <c r="AI5" i="17"/>
  <c r="AG5" i="17"/>
  <c r="AH5" i="17"/>
  <c r="AF5" i="17"/>
  <c r="AE6" i="17"/>
  <c r="AI6" i="17"/>
  <c r="AH6" i="17"/>
  <c r="AG6" i="17"/>
  <c r="AF6" i="17"/>
  <c r="Q5" i="17"/>
  <c r="AA5" i="17"/>
  <c r="W5" i="17"/>
  <c r="AD5" i="17"/>
  <c r="Z5" i="17"/>
  <c r="V5" i="17"/>
  <c r="AC5" i="17"/>
  <c r="U5" i="17"/>
  <c r="AB5" i="17"/>
  <c r="T5" i="17"/>
  <c r="X5" i="17"/>
  <c r="Y5" i="17"/>
  <c r="R6" i="17"/>
  <c r="AB6" i="17"/>
  <c r="X6" i="17"/>
  <c r="T6" i="17"/>
  <c r="AA6" i="17"/>
  <c r="W6" i="17"/>
  <c r="Z6" i="17"/>
  <c r="AC6" i="17"/>
  <c r="Y6" i="17"/>
  <c r="AD6" i="17"/>
  <c r="V6" i="17"/>
  <c r="U6" i="17"/>
  <c r="P6" i="17"/>
  <c r="K6" i="17"/>
  <c r="M6" i="17"/>
  <c r="Q6" i="17"/>
  <c r="K5" i="17"/>
  <c r="O6" i="17"/>
  <c r="N6" i="17"/>
  <c r="L6" i="17"/>
  <c r="S6" i="17"/>
  <c r="R5" i="17"/>
  <c r="P5" i="17"/>
  <c r="S5" i="17"/>
  <c r="N5" i="17"/>
  <c r="M5" i="17"/>
  <c r="L5" i="17"/>
  <c r="O5" i="17"/>
  <c r="G8" i="17"/>
  <c r="F8" i="17"/>
  <c r="H10" i="17"/>
  <c r="L8" i="16" l="1"/>
  <c r="V8" i="16"/>
  <c r="X8" i="16"/>
  <c r="AD8" i="16"/>
  <c r="M8" i="16"/>
  <c r="AH8" i="16"/>
  <c r="U8" i="16"/>
  <c r="R8" i="16"/>
  <c r="Q8" i="16"/>
  <c r="S8" i="16"/>
  <c r="AG8" i="16"/>
  <c r="AE8" i="16"/>
  <c r="AI8" i="16"/>
  <c r="K8" i="16"/>
  <c r="P8" i="16"/>
  <c r="Y8" i="16"/>
  <c r="O8" i="16"/>
  <c r="T8" i="16"/>
  <c r="AC8" i="16"/>
  <c r="Z8" i="16"/>
  <c r="W8" i="16"/>
  <c r="AB8" i="16"/>
  <c r="N8" i="16"/>
  <c r="AA8" i="16"/>
  <c r="W7" i="17"/>
  <c r="X7" i="17"/>
  <c r="K7" i="17"/>
  <c r="O7" i="17"/>
  <c r="N7" i="17"/>
  <c r="U7" i="17"/>
  <c r="AC7" i="17"/>
  <c r="P7" i="17"/>
  <c r="AF7" i="17"/>
  <c r="AA7" i="17"/>
  <c r="L7" i="17"/>
  <c r="AD7" i="17"/>
  <c r="R7" i="17"/>
  <c r="V7" i="17"/>
  <c r="AI7" i="17"/>
  <c r="Q7" i="17"/>
  <c r="T7" i="17"/>
  <c r="AH7" i="17"/>
  <c r="M7" i="17"/>
  <c r="AB7" i="17"/>
  <c r="AG7" i="17"/>
  <c r="S7" i="17"/>
  <c r="Z7" i="17"/>
  <c r="Y7" i="17"/>
  <c r="Z9" i="16"/>
  <c r="S9" i="16"/>
  <c r="F15" i="18"/>
  <c r="H11" i="16"/>
  <c r="B10" i="16"/>
  <c r="D10" i="16"/>
  <c r="E10" i="16"/>
  <c r="W9" i="16"/>
  <c r="Q9" i="16"/>
  <c r="AE9" i="16"/>
  <c r="N9" i="16"/>
  <c r="X9" i="16"/>
  <c r="AA9" i="16"/>
  <c r="R9" i="16"/>
  <c r="AB9" i="16"/>
  <c r="M9" i="16"/>
  <c r="V9" i="16"/>
  <c r="AF9" i="16"/>
  <c r="AG9" i="16"/>
  <c r="AD9" i="16"/>
  <c r="AI9" i="16"/>
  <c r="U9" i="16"/>
  <c r="AH9" i="16"/>
  <c r="L9" i="16"/>
  <c r="Y9" i="16"/>
  <c r="K9" i="16"/>
  <c r="P9" i="16"/>
  <c r="E15" i="18"/>
  <c r="AC9" i="16"/>
  <c r="O9" i="16"/>
  <c r="E10" i="17"/>
  <c r="D10" i="17"/>
  <c r="F16" i="19"/>
  <c r="B10" i="17"/>
  <c r="E16" i="19" s="1"/>
  <c r="AE8" i="17"/>
  <c r="AI8" i="17"/>
  <c r="AH8" i="17"/>
  <c r="AG8" i="17"/>
  <c r="AF8" i="17"/>
  <c r="AD8" i="17"/>
  <c r="Z8" i="17"/>
  <c r="V8" i="17"/>
  <c r="AC8" i="17"/>
  <c r="Y8" i="17"/>
  <c r="U8" i="17"/>
  <c r="AB8" i="17"/>
  <c r="T8" i="17"/>
  <c r="AA8" i="17"/>
  <c r="X8" i="17"/>
  <c r="W8" i="17"/>
  <c r="G9" i="17"/>
  <c r="F9" i="17"/>
  <c r="R8" i="17"/>
  <c r="N8" i="17"/>
  <c r="Q8" i="17"/>
  <c r="M8" i="17"/>
  <c r="S8" i="17"/>
  <c r="K8" i="17"/>
  <c r="P8" i="17"/>
  <c r="L8" i="17"/>
  <c r="O8" i="17"/>
  <c r="H11" i="17"/>
  <c r="G10" i="16" l="1"/>
  <c r="N10" i="16" s="1"/>
  <c r="F10" i="16"/>
  <c r="H12" i="16"/>
  <c r="B11" i="16"/>
  <c r="C11" i="16"/>
  <c r="E11" i="16"/>
  <c r="D11" i="16"/>
  <c r="E16" i="18"/>
  <c r="E11" i="17"/>
  <c r="D11" i="17"/>
  <c r="B11" i="17"/>
  <c r="E17" i="19" s="1"/>
  <c r="C11" i="17"/>
  <c r="F17" i="19" s="1"/>
  <c r="AE9" i="17"/>
  <c r="AI9" i="17"/>
  <c r="AH9" i="17"/>
  <c r="AG9" i="17"/>
  <c r="AF9" i="17"/>
  <c r="AA9" i="17"/>
  <c r="W9" i="17"/>
  <c r="AD9" i="17"/>
  <c r="Z9" i="17"/>
  <c r="V9" i="17"/>
  <c r="Y9" i="17"/>
  <c r="X9" i="17"/>
  <c r="AB9" i="17"/>
  <c r="T9" i="17"/>
  <c r="AC9" i="17"/>
  <c r="U9" i="17"/>
  <c r="H12" i="17"/>
  <c r="G10" i="17"/>
  <c r="F10" i="17"/>
  <c r="R9" i="17"/>
  <c r="N9" i="17"/>
  <c r="Q9" i="17"/>
  <c r="M9" i="17"/>
  <c r="S9" i="17"/>
  <c r="K9" i="17"/>
  <c r="P9" i="17"/>
  <c r="L9" i="17"/>
  <c r="O9" i="17"/>
  <c r="F14" i="1"/>
  <c r="V10" i="16" l="1"/>
  <c r="O10" i="16"/>
  <c r="S10" i="16"/>
  <c r="AH10" i="16"/>
  <c r="X10" i="16"/>
  <c r="AG10" i="16"/>
  <c r="M10" i="16"/>
  <c r="AD10" i="16"/>
  <c r="AI10" i="16"/>
  <c r="U10" i="16"/>
  <c r="Y10" i="16"/>
  <c r="AF10" i="16"/>
  <c r="K10" i="16"/>
  <c r="R10" i="16"/>
  <c r="W10" i="16"/>
  <c r="Q10" i="16"/>
  <c r="Z10" i="16"/>
  <c r="AA10" i="16"/>
  <c r="AB10" i="16"/>
  <c r="T10" i="16"/>
  <c r="L10" i="16"/>
  <c r="AE10" i="16"/>
  <c r="P10" i="16"/>
  <c r="AC10" i="16"/>
  <c r="F11" i="16"/>
  <c r="G11" i="16"/>
  <c r="H13" i="16"/>
  <c r="C12" i="16"/>
  <c r="E12" i="16"/>
  <c r="D12" i="16"/>
  <c r="B12" i="16"/>
  <c r="F17" i="18"/>
  <c r="E12" i="17"/>
  <c r="D12" i="17"/>
  <c r="C12" i="17"/>
  <c r="F18" i="19" s="1"/>
  <c r="B12" i="17"/>
  <c r="E18" i="19" s="1"/>
  <c r="E17" i="18"/>
  <c r="AE10" i="17"/>
  <c r="AI10" i="17"/>
  <c r="AG10" i="17"/>
  <c r="AF10" i="17"/>
  <c r="AH10" i="17"/>
  <c r="AB10" i="17"/>
  <c r="X10" i="17"/>
  <c r="T10" i="17"/>
  <c r="AA10" i="17"/>
  <c r="W10" i="17"/>
  <c r="AD10" i="17"/>
  <c r="V10" i="17"/>
  <c r="AC10" i="17"/>
  <c r="U10" i="17"/>
  <c r="Z10" i="17"/>
  <c r="Y10" i="17"/>
  <c r="R10" i="17"/>
  <c r="N10" i="17"/>
  <c r="Q10" i="17"/>
  <c r="M10" i="17"/>
  <c r="S10" i="17"/>
  <c r="K10" i="17"/>
  <c r="P10" i="17"/>
  <c r="L10" i="17"/>
  <c r="O10" i="17"/>
  <c r="G11" i="17"/>
  <c r="F11" i="17"/>
  <c r="H13" i="17"/>
  <c r="G12" i="16" l="1"/>
  <c r="Q12" i="16" s="1"/>
  <c r="F12" i="16"/>
  <c r="H14" i="16"/>
  <c r="B13" i="16"/>
  <c r="C13" i="16"/>
  <c r="E13" i="16"/>
  <c r="D13" i="16"/>
  <c r="AD11" i="16"/>
  <c r="O11" i="16"/>
  <c r="AC11" i="16"/>
  <c r="W11" i="16"/>
  <c r="AI11" i="16"/>
  <c r="T11" i="16"/>
  <c r="Q11" i="16"/>
  <c r="AF11" i="16"/>
  <c r="AE11" i="16"/>
  <c r="Z11" i="16"/>
  <c r="U11" i="16"/>
  <c r="R11" i="16"/>
  <c r="S11" i="16"/>
  <c r="L11" i="16"/>
  <c r="AA11" i="16"/>
  <c r="AB11" i="16"/>
  <c r="P11" i="16"/>
  <c r="Y11" i="16"/>
  <c r="K11" i="16"/>
  <c r="X11" i="16"/>
  <c r="AH11" i="16"/>
  <c r="N11" i="16"/>
  <c r="M11" i="16"/>
  <c r="AG11" i="16"/>
  <c r="V11" i="16"/>
  <c r="E18" i="18"/>
  <c r="F18" i="18"/>
  <c r="E13" i="17"/>
  <c r="B13" i="17"/>
  <c r="E19" i="19" s="1"/>
  <c r="D13" i="17"/>
  <c r="C13" i="17"/>
  <c r="F19" i="19" s="1"/>
  <c r="AE11" i="17"/>
  <c r="AI11" i="17"/>
  <c r="AH11" i="17"/>
  <c r="AG11" i="17"/>
  <c r="AF11" i="17"/>
  <c r="AC11" i="17"/>
  <c r="Y11" i="17"/>
  <c r="U11" i="17"/>
  <c r="AB11" i="17"/>
  <c r="X11" i="17"/>
  <c r="T11" i="17"/>
  <c r="AA11" i="17"/>
  <c r="AD11" i="17"/>
  <c r="Z11" i="17"/>
  <c r="V11" i="17"/>
  <c r="W11" i="17"/>
  <c r="H14" i="17"/>
  <c r="G12" i="17"/>
  <c r="F12" i="17"/>
  <c r="R11" i="17"/>
  <c r="N11" i="17"/>
  <c r="Q11" i="17"/>
  <c r="M11" i="17"/>
  <c r="S11" i="17"/>
  <c r="K11" i="17"/>
  <c r="P11" i="17"/>
  <c r="L11" i="17"/>
  <c r="O11" i="17"/>
  <c r="M3" i="7"/>
  <c r="AD12" i="16" l="1"/>
  <c r="P12" i="16"/>
  <c r="U12" i="16"/>
  <c r="L12" i="16"/>
  <c r="Y12" i="16"/>
  <c r="AA12" i="16"/>
  <c r="AE12" i="16"/>
  <c r="Z12" i="16"/>
  <c r="V12" i="16"/>
  <c r="AH12" i="16"/>
  <c r="S12" i="16"/>
  <c r="T12" i="16"/>
  <c r="G13" i="16"/>
  <c r="K13" i="16" s="1"/>
  <c r="AF12" i="16"/>
  <c r="AC12" i="16"/>
  <c r="W12" i="16"/>
  <c r="AG12" i="16"/>
  <c r="M12" i="16"/>
  <c r="X12" i="16"/>
  <c r="N12" i="16"/>
  <c r="AI12" i="16"/>
  <c r="O12" i="16"/>
  <c r="K12" i="16"/>
  <c r="R12" i="16"/>
  <c r="AB12" i="16"/>
  <c r="F19" i="18"/>
  <c r="F13" i="16"/>
  <c r="H15" i="16"/>
  <c r="E14" i="16"/>
  <c r="B14" i="16"/>
  <c r="C14" i="16"/>
  <c r="D14" i="16"/>
  <c r="E19" i="18"/>
  <c r="E14" i="17"/>
  <c r="D14" i="17"/>
  <c r="C14" i="17"/>
  <c r="F20" i="19" s="1"/>
  <c r="B14" i="17"/>
  <c r="E20" i="19" s="1"/>
  <c r="AE12" i="17"/>
  <c r="AI12" i="17"/>
  <c r="AG12" i="17"/>
  <c r="AH12" i="17"/>
  <c r="AF12" i="17"/>
  <c r="AD12" i="17"/>
  <c r="Z12" i="17"/>
  <c r="V12" i="17"/>
  <c r="AC12" i="17"/>
  <c r="Y12" i="17"/>
  <c r="U12" i="17"/>
  <c r="X12" i="17"/>
  <c r="W12" i="17"/>
  <c r="AB12" i="17"/>
  <c r="T12" i="17"/>
  <c r="AA12" i="17"/>
  <c r="G13" i="17"/>
  <c r="F13" i="17"/>
  <c r="R12" i="17"/>
  <c r="N12" i="17"/>
  <c r="Q12" i="17"/>
  <c r="M12" i="17"/>
  <c r="S12" i="17"/>
  <c r="K12" i="17"/>
  <c r="P12" i="17"/>
  <c r="L12" i="17"/>
  <c r="O12" i="17"/>
  <c r="H15" i="17"/>
  <c r="W27" i="1"/>
  <c r="V27" i="1"/>
  <c r="W26" i="1"/>
  <c r="V26" i="1"/>
  <c r="W25" i="1"/>
  <c r="V25" i="1"/>
  <c r="W24" i="1"/>
  <c r="V24" i="1"/>
  <c r="Y3" i="7"/>
  <c r="W3" i="7"/>
  <c r="U3" i="7"/>
  <c r="W23" i="1" s="1"/>
  <c r="S3" i="7"/>
  <c r="Q3" i="7"/>
  <c r="O3" i="7"/>
  <c r="O2" i="7"/>
  <c r="M2" i="7"/>
  <c r="K2" i="7"/>
  <c r="I4" i="7"/>
  <c r="I3" i="7"/>
  <c r="I2" i="7"/>
  <c r="M13" i="16" l="1"/>
  <c r="AD13" i="16"/>
  <c r="AG13" i="16"/>
  <c r="P13" i="16"/>
  <c r="Z13" i="16"/>
  <c r="X13" i="16"/>
  <c r="N13" i="16"/>
  <c r="W13" i="16"/>
  <c r="O13" i="16"/>
  <c r="L13" i="16"/>
  <c r="AA13" i="16"/>
  <c r="S13" i="16"/>
  <c r="U13" i="16"/>
  <c r="AF13" i="16"/>
  <c r="Q13" i="16"/>
  <c r="AH13" i="16"/>
  <c r="AB13" i="16"/>
  <c r="AC13" i="16"/>
  <c r="R13" i="16"/>
  <c r="Y13" i="16"/>
  <c r="T13" i="16"/>
  <c r="V13" i="16"/>
  <c r="AE13" i="16"/>
  <c r="AI13" i="16"/>
  <c r="H16" i="16"/>
  <c r="B15" i="16"/>
  <c r="C15" i="16"/>
  <c r="E15" i="16"/>
  <c r="D15" i="16"/>
  <c r="F14" i="16"/>
  <c r="G14" i="16"/>
  <c r="F20" i="18"/>
  <c r="E20" i="18"/>
  <c r="B15" i="17"/>
  <c r="E21" i="19" s="1"/>
  <c r="E15" i="17"/>
  <c r="D15" i="17"/>
  <c r="C15" i="17"/>
  <c r="F21" i="19" s="1"/>
  <c r="V23" i="1"/>
  <c r="X23" i="1" s="1"/>
  <c r="AE13" i="17"/>
  <c r="AI13" i="17"/>
  <c r="AF13" i="17"/>
  <c r="AH13" i="17"/>
  <c r="AG13" i="17"/>
  <c r="AA13" i="17"/>
  <c r="W13" i="17"/>
  <c r="AD13" i="17"/>
  <c r="Z13" i="17"/>
  <c r="V13" i="17"/>
  <c r="AC13" i="17"/>
  <c r="U13" i="17"/>
  <c r="T13" i="17"/>
  <c r="AB13" i="17"/>
  <c r="X13" i="17"/>
  <c r="Y13" i="17"/>
  <c r="G14" i="17"/>
  <c r="F14" i="17"/>
  <c r="R13" i="17"/>
  <c r="N13" i="17"/>
  <c r="Q13" i="17"/>
  <c r="M13" i="17"/>
  <c r="S13" i="17"/>
  <c r="K13" i="17"/>
  <c r="P13" i="17"/>
  <c r="L13" i="17"/>
  <c r="O13" i="17"/>
  <c r="H16" i="17"/>
  <c r="X26" i="1"/>
  <c r="X24" i="1"/>
  <c r="X25" i="1"/>
  <c r="X27" i="1"/>
  <c r="E21" i="18" l="1"/>
  <c r="F15" i="16"/>
  <c r="G15" i="16"/>
  <c r="W14" i="16"/>
  <c r="R14" i="16"/>
  <c r="O14" i="16"/>
  <c r="AG14" i="16"/>
  <c r="X14" i="16"/>
  <c r="AH14" i="16"/>
  <c r="Y14" i="16"/>
  <c r="AF14" i="16"/>
  <c r="AI14" i="16"/>
  <c r="N14" i="16"/>
  <c r="P14" i="16"/>
  <c r="AE14" i="16"/>
  <c r="AC14" i="16"/>
  <c r="AD14" i="16"/>
  <c r="AA14" i="16"/>
  <c r="U14" i="16"/>
  <c r="K14" i="16"/>
  <c r="S14" i="16"/>
  <c r="Q14" i="16"/>
  <c r="M14" i="16"/>
  <c r="AB14" i="16"/>
  <c r="Z14" i="16"/>
  <c r="V14" i="16"/>
  <c r="L14" i="16"/>
  <c r="T14" i="16"/>
  <c r="H17" i="16"/>
  <c r="D16" i="16"/>
  <c r="E16" i="16"/>
  <c r="B16" i="16"/>
  <c r="C16" i="16"/>
  <c r="F21" i="18"/>
  <c r="E16" i="17"/>
  <c r="D16" i="17"/>
  <c r="C16" i="17"/>
  <c r="F22" i="19" s="1"/>
  <c r="B16" i="17"/>
  <c r="E22" i="19" s="1"/>
  <c r="AE14" i="17"/>
  <c r="AI14" i="17"/>
  <c r="AH14" i="17"/>
  <c r="AG14" i="17"/>
  <c r="AF14" i="17"/>
  <c r="AB14" i="17"/>
  <c r="X14" i="17"/>
  <c r="T14" i="17"/>
  <c r="AA14" i="17"/>
  <c r="W14" i="17"/>
  <c r="Z14" i="17"/>
  <c r="Y14" i="17"/>
  <c r="AC14" i="17"/>
  <c r="AD14" i="17"/>
  <c r="V14" i="17"/>
  <c r="U14" i="17"/>
  <c r="AA23" i="1"/>
  <c r="Z23" i="1"/>
  <c r="V14" i="1" s="1"/>
  <c r="R14" i="17"/>
  <c r="N14" i="17"/>
  <c r="Q14" i="17"/>
  <c r="M14" i="17"/>
  <c r="S14" i="17"/>
  <c r="K14" i="17"/>
  <c r="P14" i="17"/>
  <c r="L14" i="17"/>
  <c r="O14" i="17"/>
  <c r="G15" i="17"/>
  <c r="F15" i="17"/>
  <c r="H17" i="17"/>
  <c r="AB23" i="1"/>
  <c r="W14" i="1" l="1"/>
  <c r="W15" i="1" s="1"/>
  <c r="F22" i="18"/>
  <c r="E22" i="18"/>
  <c r="G16" i="16"/>
  <c r="F16" i="16"/>
  <c r="H18" i="16"/>
  <c r="B17" i="16"/>
  <c r="C17" i="16"/>
  <c r="E17" i="16"/>
  <c r="D17" i="16"/>
  <c r="V15" i="16"/>
  <c r="AH15" i="16"/>
  <c r="T15" i="16"/>
  <c r="P15" i="16"/>
  <c r="K15" i="16"/>
  <c r="AG15" i="16"/>
  <c r="AF15" i="16"/>
  <c r="AC15" i="16"/>
  <c r="R15" i="16"/>
  <c r="W15" i="16"/>
  <c r="O15" i="16"/>
  <c r="U15" i="16"/>
  <c r="Y15" i="16"/>
  <c r="AB15" i="16"/>
  <c r="S15" i="16"/>
  <c r="N15" i="16"/>
  <c r="M15" i="16"/>
  <c r="Q15" i="16"/>
  <c r="AI15" i="16"/>
  <c r="L15" i="16"/>
  <c r="AA15" i="16"/>
  <c r="Z15" i="16"/>
  <c r="AE15" i="16"/>
  <c r="AD15" i="16"/>
  <c r="X15" i="16"/>
  <c r="E17" i="17"/>
  <c r="D17" i="17"/>
  <c r="C17" i="17"/>
  <c r="F23" i="19" s="1"/>
  <c r="B17" i="17"/>
  <c r="E23" i="19" s="1"/>
  <c r="V15" i="1"/>
  <c r="AE15" i="17"/>
  <c r="AI15" i="17"/>
  <c r="AG15" i="17"/>
  <c r="AF15" i="17"/>
  <c r="AH15" i="17"/>
  <c r="AC15" i="17"/>
  <c r="Y15" i="17"/>
  <c r="U15" i="17"/>
  <c r="AB15" i="17"/>
  <c r="X15" i="17"/>
  <c r="T15" i="17"/>
  <c r="W15" i="17"/>
  <c r="AD15" i="17"/>
  <c r="V15" i="17"/>
  <c r="Z15" i="17"/>
  <c r="AA15" i="17"/>
  <c r="R15" i="17"/>
  <c r="N15" i="17"/>
  <c r="Q15" i="17"/>
  <c r="M15" i="17"/>
  <c r="S15" i="17"/>
  <c r="K15" i="17"/>
  <c r="P15" i="17"/>
  <c r="L15" i="17"/>
  <c r="O15" i="17"/>
  <c r="H18" i="17"/>
  <c r="G16" i="17"/>
  <c r="F16" i="17"/>
  <c r="X14" i="1" l="1"/>
  <c r="X15" i="1" s="1"/>
  <c r="Q16" i="16"/>
  <c r="AC16" i="16"/>
  <c r="AD16" i="16"/>
  <c r="R16" i="16"/>
  <c r="AH16" i="16"/>
  <c r="N16" i="16"/>
  <c r="W16" i="16"/>
  <c r="AA16" i="16"/>
  <c r="Z16" i="16"/>
  <c r="K16" i="16"/>
  <c r="S16" i="16"/>
  <c r="AB16" i="16"/>
  <c r="AF16" i="16"/>
  <c r="X16" i="16"/>
  <c r="U16" i="16"/>
  <c r="AG16" i="16"/>
  <c r="P16" i="16"/>
  <c r="V16" i="16"/>
  <c r="L16" i="16"/>
  <c r="Y16" i="16"/>
  <c r="T16" i="16"/>
  <c r="AE16" i="16"/>
  <c r="AI16" i="16"/>
  <c r="M16" i="16"/>
  <c r="O16" i="16"/>
  <c r="H19" i="16"/>
  <c r="C18" i="16"/>
  <c r="E18" i="16"/>
  <c r="D18" i="16"/>
  <c r="B18" i="16"/>
  <c r="G17" i="16"/>
  <c r="F17" i="16"/>
  <c r="F23" i="18"/>
  <c r="E23" i="18"/>
  <c r="E18" i="17"/>
  <c r="D18" i="17"/>
  <c r="C18" i="17"/>
  <c r="F24" i="19" s="1"/>
  <c r="B18" i="17"/>
  <c r="E24" i="19" s="1"/>
  <c r="AE16" i="17"/>
  <c r="AI16" i="17"/>
  <c r="AH16" i="17"/>
  <c r="AG16" i="17"/>
  <c r="AF16" i="17"/>
  <c r="AD16" i="17"/>
  <c r="Z16" i="17"/>
  <c r="V16" i="17"/>
  <c r="AC16" i="17"/>
  <c r="Y16" i="17"/>
  <c r="U16" i="17"/>
  <c r="AB16" i="17"/>
  <c r="T16" i="17"/>
  <c r="W16" i="17"/>
  <c r="AA16" i="17"/>
  <c r="X16" i="17"/>
  <c r="R16" i="17"/>
  <c r="N16" i="17"/>
  <c r="Q16" i="17"/>
  <c r="M16" i="17"/>
  <c r="S16" i="17"/>
  <c r="K16" i="17"/>
  <c r="P16" i="17"/>
  <c r="L16" i="17"/>
  <c r="O16" i="17"/>
  <c r="H19" i="17"/>
  <c r="G17" i="17"/>
  <c r="F17" i="17"/>
  <c r="F18" i="16" l="1"/>
  <c r="G18" i="16"/>
  <c r="H20" i="16"/>
  <c r="B19" i="16"/>
  <c r="D19" i="16"/>
  <c r="C19" i="16"/>
  <c r="E19" i="16"/>
  <c r="L17" i="16"/>
  <c r="AH17" i="16"/>
  <c r="AC17" i="16"/>
  <c r="AI17" i="16"/>
  <c r="AD17" i="16"/>
  <c r="M17" i="16"/>
  <c r="AE17" i="16"/>
  <c r="Z17" i="16"/>
  <c r="Y17" i="16"/>
  <c r="AF17" i="16"/>
  <c r="AA17" i="16"/>
  <c r="V17" i="16"/>
  <c r="U17" i="16"/>
  <c r="AB17" i="16"/>
  <c r="W17" i="16"/>
  <c r="R17" i="16"/>
  <c r="P17" i="16"/>
  <c r="AG17" i="16"/>
  <c r="Q17" i="16"/>
  <c r="S17" i="16"/>
  <c r="O17" i="16"/>
  <c r="K17" i="16"/>
  <c r="N17" i="16"/>
  <c r="X17" i="16"/>
  <c r="T17" i="16"/>
  <c r="F24" i="18"/>
  <c r="E24" i="18"/>
  <c r="E19" i="17"/>
  <c r="D19" i="17"/>
  <c r="B19" i="17"/>
  <c r="E25" i="19" s="1"/>
  <c r="C19" i="17"/>
  <c r="F25" i="19" s="1"/>
  <c r="AE17" i="17"/>
  <c r="AI17" i="17"/>
  <c r="AG17" i="17"/>
  <c r="AH17" i="17"/>
  <c r="AF17" i="17"/>
  <c r="AA17" i="17"/>
  <c r="W17" i="17"/>
  <c r="AD17" i="17"/>
  <c r="Z17" i="17"/>
  <c r="V17" i="17"/>
  <c r="Y17" i="17"/>
  <c r="X17" i="17"/>
  <c r="AB17" i="17"/>
  <c r="AC17" i="17"/>
  <c r="U17" i="17"/>
  <c r="T17" i="17"/>
  <c r="S17" i="17"/>
  <c r="O17" i="17"/>
  <c r="R17" i="17"/>
  <c r="N17" i="17"/>
  <c r="M17" i="17"/>
  <c r="K17" i="17"/>
  <c r="Q17" i="17"/>
  <c r="L17" i="17"/>
  <c r="P17" i="17"/>
  <c r="H20" i="17"/>
  <c r="F18" i="17"/>
  <c r="G18" i="17"/>
  <c r="AH18" i="16" l="1"/>
  <c r="Y18" i="16"/>
  <c r="AB18" i="16"/>
  <c r="AE18" i="16"/>
  <c r="Z18" i="16"/>
  <c r="Q18" i="16"/>
  <c r="W18" i="16"/>
  <c r="R18" i="16"/>
  <c r="AF18" i="16"/>
  <c r="N18" i="16"/>
  <c r="L18" i="16"/>
  <c r="X18" i="16"/>
  <c r="AI18" i="16"/>
  <c r="AG18" i="16"/>
  <c r="AA18" i="16"/>
  <c r="AC18" i="16"/>
  <c r="M18" i="16"/>
  <c r="K18" i="16"/>
  <c r="S18" i="16"/>
  <c r="U18" i="16"/>
  <c r="O18" i="16"/>
  <c r="V18" i="16"/>
  <c r="T18" i="16"/>
  <c r="P18" i="16"/>
  <c r="AD18" i="16"/>
  <c r="F19" i="16"/>
  <c r="G19" i="16"/>
  <c r="H21" i="16"/>
  <c r="B20" i="16"/>
  <c r="C20" i="16"/>
  <c r="D20" i="16"/>
  <c r="E20" i="16"/>
  <c r="F25" i="18"/>
  <c r="E25" i="18"/>
  <c r="E20" i="17"/>
  <c r="D20" i="17"/>
  <c r="C20" i="17"/>
  <c r="F26" i="19" s="1"/>
  <c r="B20" i="17"/>
  <c r="E26" i="19" s="1"/>
  <c r="AE18" i="17"/>
  <c r="AI18" i="17"/>
  <c r="AF18" i="17"/>
  <c r="AH18" i="17"/>
  <c r="AG18" i="17"/>
  <c r="AB18" i="17"/>
  <c r="X18" i="17"/>
  <c r="T18" i="17"/>
  <c r="AA18" i="17"/>
  <c r="W18" i="17"/>
  <c r="AD18" i="17"/>
  <c r="V18" i="17"/>
  <c r="Y18" i="17"/>
  <c r="AC18" i="17"/>
  <c r="U18" i="17"/>
  <c r="Z18" i="17"/>
  <c r="F19" i="17"/>
  <c r="G19" i="17"/>
  <c r="S18" i="17"/>
  <c r="O18" i="17"/>
  <c r="K18" i="17"/>
  <c r="R18" i="17"/>
  <c r="N18" i="17"/>
  <c r="M18" i="17"/>
  <c r="L18" i="17"/>
  <c r="Q18" i="17"/>
  <c r="P18" i="17"/>
  <c r="H21" i="17"/>
  <c r="AH19" i="16" l="1"/>
  <c r="AA19" i="16"/>
  <c r="R19" i="16"/>
  <c r="Q19" i="16"/>
  <c r="O19" i="16"/>
  <c r="AG19" i="16"/>
  <c r="V19" i="16"/>
  <c r="AB19" i="16"/>
  <c r="K19" i="16"/>
  <c r="AE19" i="16"/>
  <c r="N19" i="16"/>
  <c r="T19" i="16"/>
  <c r="Z19" i="16"/>
  <c r="AF19" i="16"/>
  <c r="AC19" i="16"/>
  <c r="S19" i="16"/>
  <c r="M19" i="16"/>
  <c r="Y19" i="16"/>
  <c r="W19" i="16"/>
  <c r="P19" i="16"/>
  <c r="U19" i="16"/>
  <c r="AI19" i="16"/>
  <c r="L19" i="16"/>
  <c r="X19" i="16"/>
  <c r="AD19" i="16"/>
  <c r="H22" i="16"/>
  <c r="B21" i="16"/>
  <c r="D21" i="16"/>
  <c r="C21" i="16"/>
  <c r="E21" i="16"/>
  <c r="G20" i="16"/>
  <c r="F20" i="16"/>
  <c r="F26" i="18"/>
  <c r="E26" i="18"/>
  <c r="B21" i="17"/>
  <c r="E27" i="19" s="1"/>
  <c r="E21" i="17"/>
  <c r="D21" i="17"/>
  <c r="C21" i="17"/>
  <c r="F27" i="19" s="1"/>
  <c r="AE19" i="17"/>
  <c r="AI19" i="17"/>
  <c r="AH19" i="17"/>
  <c r="AF19" i="17"/>
  <c r="AG19" i="17"/>
  <c r="AC19" i="17"/>
  <c r="Y19" i="17"/>
  <c r="U19" i="17"/>
  <c r="AB19" i="17"/>
  <c r="X19" i="17"/>
  <c r="T19" i="17"/>
  <c r="AA19" i="17"/>
  <c r="AD19" i="17"/>
  <c r="Z19" i="17"/>
  <c r="V19" i="17"/>
  <c r="W19" i="17"/>
  <c r="P19" i="17"/>
  <c r="L19" i="17"/>
  <c r="S19" i="17"/>
  <c r="O19" i="17"/>
  <c r="K19" i="17"/>
  <c r="R19" i="17"/>
  <c r="N19" i="17"/>
  <c r="Q19" i="17"/>
  <c r="M19" i="17"/>
  <c r="H22" i="17"/>
  <c r="F20" i="17"/>
  <c r="G20" i="17"/>
  <c r="E27" i="18" l="1"/>
  <c r="Y20" i="16"/>
  <c r="P20" i="16"/>
  <c r="W20" i="16"/>
  <c r="U20" i="16"/>
  <c r="L20" i="16"/>
  <c r="S20" i="16"/>
  <c r="Q20" i="16"/>
  <c r="AH20" i="16"/>
  <c r="O20" i="16"/>
  <c r="M20" i="16"/>
  <c r="Z20" i="16"/>
  <c r="K20" i="16"/>
  <c r="AF20" i="16"/>
  <c r="R20" i="16"/>
  <c r="AD20" i="16"/>
  <c r="AG20" i="16"/>
  <c r="V20" i="16"/>
  <c r="AE20" i="16"/>
  <c r="AC20" i="16"/>
  <c r="N20" i="16"/>
  <c r="AI20" i="16"/>
  <c r="AB20" i="16"/>
  <c r="X20" i="16"/>
  <c r="T20" i="16"/>
  <c r="AA20" i="16"/>
  <c r="F21" i="16"/>
  <c r="G21" i="16"/>
  <c r="H23" i="16"/>
  <c r="B22" i="16"/>
  <c r="C22" i="16"/>
  <c r="D22" i="16"/>
  <c r="E22" i="16"/>
  <c r="F27" i="18"/>
  <c r="E22" i="17"/>
  <c r="D22" i="17"/>
  <c r="C22" i="17"/>
  <c r="F28" i="19" s="1"/>
  <c r="B22" i="17"/>
  <c r="E28" i="19" s="1"/>
  <c r="AE20" i="17"/>
  <c r="AI20" i="17"/>
  <c r="AG20" i="17"/>
  <c r="AH20" i="17"/>
  <c r="AF20" i="17"/>
  <c r="AD20" i="17"/>
  <c r="Z20" i="17"/>
  <c r="V20" i="17"/>
  <c r="AC20" i="17"/>
  <c r="Y20" i="17"/>
  <c r="U20" i="17"/>
  <c r="X20" i="17"/>
  <c r="W20" i="17"/>
  <c r="AB20" i="17"/>
  <c r="T20" i="17"/>
  <c r="AA20" i="17"/>
  <c r="F21" i="17"/>
  <c r="G21" i="17"/>
  <c r="P20" i="17"/>
  <c r="L20" i="17"/>
  <c r="S20" i="17"/>
  <c r="O20" i="17"/>
  <c r="K20" i="17"/>
  <c r="R20" i="17"/>
  <c r="N20" i="17"/>
  <c r="Q20" i="17"/>
  <c r="M20" i="17"/>
  <c r="H23" i="17"/>
  <c r="H24" i="16" l="1"/>
  <c r="B23" i="16"/>
  <c r="D23" i="16"/>
  <c r="C23" i="16"/>
  <c r="E23" i="16"/>
  <c r="AE21" i="16"/>
  <c r="Q21" i="16"/>
  <c r="U21" i="16"/>
  <c r="AB21" i="16"/>
  <c r="W21" i="16"/>
  <c r="AD21" i="16"/>
  <c r="AI21" i="16"/>
  <c r="Z21" i="16"/>
  <c r="K21" i="16"/>
  <c r="M21" i="16"/>
  <c r="AA21" i="16"/>
  <c r="V21" i="16"/>
  <c r="X21" i="16"/>
  <c r="S21" i="16"/>
  <c r="R21" i="16"/>
  <c r="AC21" i="16"/>
  <c r="AG21" i="16"/>
  <c r="AF21" i="16"/>
  <c r="O21" i="16"/>
  <c r="N21" i="16"/>
  <c r="T21" i="16"/>
  <c r="AH21" i="16"/>
  <c r="P21" i="16"/>
  <c r="L21" i="16"/>
  <c r="Y21" i="16"/>
  <c r="F22" i="16"/>
  <c r="G22" i="16"/>
  <c r="F28" i="18"/>
  <c r="E23" i="17"/>
  <c r="B23" i="17"/>
  <c r="E29" i="19" s="1"/>
  <c r="D23" i="17"/>
  <c r="C23" i="17"/>
  <c r="F29" i="19" s="1"/>
  <c r="E28" i="18"/>
  <c r="AE21" i="17"/>
  <c r="AI21" i="17"/>
  <c r="AF21" i="17"/>
  <c r="AH21" i="17"/>
  <c r="AG21" i="17"/>
  <c r="AA21" i="17"/>
  <c r="W21" i="17"/>
  <c r="AD21" i="17"/>
  <c r="Z21" i="17"/>
  <c r="V21" i="17"/>
  <c r="AC21" i="17"/>
  <c r="U21" i="17"/>
  <c r="AB21" i="17"/>
  <c r="T21" i="17"/>
  <c r="X21" i="17"/>
  <c r="Y21" i="17"/>
  <c r="H24" i="17"/>
  <c r="F22" i="17"/>
  <c r="G22" i="17"/>
  <c r="P21" i="17"/>
  <c r="L21" i="17"/>
  <c r="S21" i="17"/>
  <c r="O21" i="17"/>
  <c r="K21" i="17"/>
  <c r="R21" i="17"/>
  <c r="N21" i="17"/>
  <c r="Q21" i="17"/>
  <c r="M21" i="17"/>
  <c r="G23" i="16" l="1"/>
  <c r="F23" i="16"/>
  <c r="H25" i="16"/>
  <c r="B24" i="16"/>
  <c r="C24" i="16"/>
  <c r="D24" i="16"/>
  <c r="E24" i="16"/>
  <c r="E29" i="18"/>
  <c r="AE22" i="16"/>
  <c r="Z22" i="16"/>
  <c r="AC22" i="16"/>
  <c r="W22" i="16"/>
  <c r="R22" i="16"/>
  <c r="U22" i="16"/>
  <c r="O22" i="16"/>
  <c r="AF22" i="16"/>
  <c r="M22" i="16"/>
  <c r="V22" i="16"/>
  <c r="T22" i="16"/>
  <c r="AG22" i="16"/>
  <c r="N22" i="16"/>
  <c r="L22" i="16"/>
  <c r="AI22" i="16"/>
  <c r="X22" i="16"/>
  <c r="S22" i="16"/>
  <c r="K22" i="16"/>
  <c r="AA22" i="16"/>
  <c r="P22" i="16"/>
  <c r="Y22" i="16"/>
  <c r="AD22" i="16"/>
  <c r="Q22" i="16"/>
  <c r="AB22" i="16"/>
  <c r="AH22" i="16"/>
  <c r="F29" i="18"/>
  <c r="E24" i="17"/>
  <c r="D24" i="17"/>
  <c r="C24" i="17"/>
  <c r="F30" i="19" s="1"/>
  <c r="B24" i="17"/>
  <c r="E30" i="19" s="1"/>
  <c r="AE22" i="17"/>
  <c r="AI22" i="17"/>
  <c r="AG22" i="17"/>
  <c r="AH22" i="17"/>
  <c r="AF22" i="17"/>
  <c r="AB22" i="17"/>
  <c r="X22" i="17"/>
  <c r="T22" i="17"/>
  <c r="AA22" i="17"/>
  <c r="W22" i="17"/>
  <c r="Z22" i="17"/>
  <c r="AC22" i="17"/>
  <c r="Y22" i="17"/>
  <c r="AD22" i="17"/>
  <c r="V22" i="17"/>
  <c r="U22" i="17"/>
  <c r="F23" i="17"/>
  <c r="G23" i="17"/>
  <c r="P22" i="17"/>
  <c r="L22" i="17"/>
  <c r="S22" i="17"/>
  <c r="O22" i="17"/>
  <c r="K22" i="17"/>
  <c r="R22" i="17"/>
  <c r="N22" i="17"/>
  <c r="Q22" i="17"/>
  <c r="M22" i="17"/>
  <c r="H25" i="17"/>
  <c r="G24" i="16" l="1"/>
  <c r="F24" i="16"/>
  <c r="H26" i="16"/>
  <c r="B25" i="16"/>
  <c r="C25" i="16"/>
  <c r="E25" i="16"/>
  <c r="D25" i="16"/>
  <c r="AG23" i="16"/>
  <c r="AA23" i="16"/>
  <c r="T23" i="16"/>
  <c r="Y23" i="16"/>
  <c r="Q23" i="16"/>
  <c r="L23" i="16"/>
  <c r="V23" i="16"/>
  <c r="W23" i="16"/>
  <c r="S23" i="16"/>
  <c r="AC23" i="16"/>
  <c r="AF23" i="16"/>
  <c r="AB23" i="16"/>
  <c r="X23" i="16"/>
  <c r="U23" i="16"/>
  <c r="R23" i="16"/>
  <c r="P23" i="16"/>
  <c r="AI23" i="16"/>
  <c r="AH23" i="16"/>
  <c r="N23" i="16"/>
  <c r="AE23" i="16"/>
  <c r="K23" i="16"/>
  <c r="AD23" i="16"/>
  <c r="M23" i="16"/>
  <c r="O23" i="16"/>
  <c r="Z23" i="16"/>
  <c r="E30" i="18"/>
  <c r="F30" i="18"/>
  <c r="B25" i="17"/>
  <c r="E31" i="19" s="1"/>
  <c r="E25" i="17"/>
  <c r="D25" i="17"/>
  <c r="C25" i="17"/>
  <c r="F31" i="19" s="1"/>
  <c r="AE23" i="17"/>
  <c r="AI23" i="17"/>
  <c r="AH23" i="17"/>
  <c r="AG23" i="17"/>
  <c r="AF23" i="17"/>
  <c r="AC23" i="17"/>
  <c r="Y23" i="17"/>
  <c r="U23" i="17"/>
  <c r="AB23" i="17"/>
  <c r="X23" i="17"/>
  <c r="T23" i="17"/>
  <c r="W23" i="17"/>
  <c r="AD23" i="17"/>
  <c r="V23" i="17"/>
  <c r="AA23" i="17"/>
  <c r="Z23" i="17"/>
  <c r="H26" i="17"/>
  <c r="P23" i="17"/>
  <c r="L23" i="17"/>
  <c r="S23" i="17"/>
  <c r="O23" i="17"/>
  <c r="K23" i="17"/>
  <c r="R23" i="17"/>
  <c r="N23" i="17"/>
  <c r="Q23" i="17"/>
  <c r="M23" i="17"/>
  <c r="F24" i="17"/>
  <c r="G24" i="17"/>
  <c r="G25" i="16" l="1"/>
  <c r="X25" i="16" s="1"/>
  <c r="U24" i="16"/>
  <c r="L24" i="16"/>
  <c r="V24" i="16"/>
  <c r="Q24" i="16"/>
  <c r="AI24" i="16"/>
  <c r="AE24" i="16"/>
  <c r="M24" i="16"/>
  <c r="AA24" i="16"/>
  <c r="W24" i="16"/>
  <c r="AF24" i="16"/>
  <c r="S24" i="16"/>
  <c r="O24" i="16"/>
  <c r="AB24" i="16"/>
  <c r="K24" i="16"/>
  <c r="AD24" i="16"/>
  <c r="Y24" i="16"/>
  <c r="Z24" i="16"/>
  <c r="X24" i="16"/>
  <c r="T24" i="16"/>
  <c r="P24" i="16"/>
  <c r="AH24" i="16"/>
  <c r="R24" i="16"/>
  <c r="AG24" i="16"/>
  <c r="AC24" i="16"/>
  <c r="N24" i="16"/>
  <c r="F25" i="16"/>
  <c r="H27" i="16"/>
  <c r="D26" i="16"/>
  <c r="B26" i="16"/>
  <c r="C26" i="16"/>
  <c r="E26" i="16"/>
  <c r="E31" i="18"/>
  <c r="F31" i="18"/>
  <c r="E26" i="17"/>
  <c r="D26" i="17"/>
  <c r="C26" i="17"/>
  <c r="F32" i="19" s="1"/>
  <c r="B26" i="17"/>
  <c r="E32" i="19" s="1"/>
  <c r="AE24" i="17"/>
  <c r="AI24" i="17"/>
  <c r="AG24" i="17"/>
  <c r="AF24" i="17"/>
  <c r="AH24" i="17"/>
  <c r="AD24" i="17"/>
  <c r="Z24" i="17"/>
  <c r="V24" i="17"/>
  <c r="AC24" i="17"/>
  <c r="Y24" i="17"/>
  <c r="U24" i="17"/>
  <c r="AB24" i="17"/>
  <c r="T24" i="17"/>
  <c r="AA24" i="17"/>
  <c r="X24" i="17"/>
  <c r="W24" i="17"/>
  <c r="P24" i="17"/>
  <c r="L24" i="17"/>
  <c r="S24" i="17"/>
  <c r="O24" i="17"/>
  <c r="K24" i="17"/>
  <c r="R24" i="17"/>
  <c r="N24" i="17"/>
  <c r="Q24" i="17"/>
  <c r="M24" i="17"/>
  <c r="F25" i="17"/>
  <c r="G25" i="17"/>
  <c r="H27" i="17"/>
  <c r="AH25" i="16" l="1"/>
  <c r="P25" i="16"/>
  <c r="M25" i="16"/>
  <c r="W25" i="16"/>
  <c r="L25" i="16"/>
  <c r="O25" i="16"/>
  <c r="Q25" i="16"/>
  <c r="AI25" i="16"/>
  <c r="AB25" i="16"/>
  <c r="AE25" i="16"/>
  <c r="U25" i="16"/>
  <c r="AA25" i="16"/>
  <c r="AD25" i="16"/>
  <c r="Y25" i="16"/>
  <c r="Z25" i="16"/>
  <c r="AF25" i="16"/>
  <c r="T25" i="16"/>
  <c r="AC25" i="16"/>
  <c r="V25" i="16"/>
  <c r="S25" i="16"/>
  <c r="AG25" i="16"/>
  <c r="N25" i="16"/>
  <c r="R25" i="16"/>
  <c r="K25" i="16"/>
  <c r="G26" i="16"/>
  <c r="K26" i="16" s="1"/>
  <c r="F26" i="16"/>
  <c r="H28" i="16"/>
  <c r="B27" i="16"/>
  <c r="C27" i="16"/>
  <c r="E27" i="16"/>
  <c r="D27" i="16"/>
  <c r="E32" i="18"/>
  <c r="F32" i="18"/>
  <c r="E27" i="17"/>
  <c r="D27" i="17"/>
  <c r="B27" i="17"/>
  <c r="E33" i="19" s="1"/>
  <c r="C27" i="17"/>
  <c r="F33" i="19" s="1"/>
  <c r="AE25" i="17"/>
  <c r="AI25" i="17"/>
  <c r="AH25" i="17"/>
  <c r="AG25" i="17"/>
  <c r="AF25" i="17"/>
  <c r="AA25" i="17"/>
  <c r="W25" i="17"/>
  <c r="AD25" i="17"/>
  <c r="Z25" i="17"/>
  <c r="V25" i="17"/>
  <c r="Y25" i="17"/>
  <c r="X25" i="17"/>
  <c r="AC25" i="17"/>
  <c r="U25" i="17"/>
  <c r="AB25" i="17"/>
  <c r="T25" i="17"/>
  <c r="F26" i="17"/>
  <c r="G26" i="17"/>
  <c r="H28" i="17"/>
  <c r="P25" i="17"/>
  <c r="L25" i="17"/>
  <c r="S25" i="17"/>
  <c r="O25" i="17"/>
  <c r="K25" i="17"/>
  <c r="R25" i="17"/>
  <c r="N25" i="17"/>
  <c r="Q25" i="17"/>
  <c r="M25" i="17"/>
  <c r="O26" i="16" l="1"/>
  <c r="P26" i="16"/>
  <c r="L26" i="16"/>
  <c r="Z26" i="16"/>
  <c r="S26" i="16"/>
  <c r="AC26" i="16"/>
  <c r="N26" i="16"/>
  <c r="V26" i="16"/>
  <c r="AG26" i="16"/>
  <c r="R26" i="16"/>
  <c r="T26" i="16"/>
  <c r="M26" i="16"/>
  <c r="G27" i="16"/>
  <c r="O27" i="16" s="1"/>
  <c r="AF26" i="16"/>
  <c r="W26" i="16"/>
  <c r="Y26" i="16"/>
  <c r="AD26" i="16"/>
  <c r="X26" i="16"/>
  <c r="AA26" i="16"/>
  <c r="Q26" i="16"/>
  <c r="AE26" i="16"/>
  <c r="AH26" i="16"/>
  <c r="U26" i="16"/>
  <c r="AI26" i="16"/>
  <c r="AB26" i="16"/>
  <c r="F27" i="16"/>
  <c r="H29" i="16"/>
  <c r="B28" i="16"/>
  <c r="C28" i="16"/>
  <c r="D28" i="16"/>
  <c r="E28" i="16"/>
  <c r="E33" i="18"/>
  <c r="E28" i="17"/>
  <c r="D28" i="17"/>
  <c r="C28" i="17"/>
  <c r="F34" i="19" s="1"/>
  <c r="B28" i="17"/>
  <c r="E34" i="19" s="1"/>
  <c r="F33" i="18"/>
  <c r="AE26" i="17"/>
  <c r="AI26" i="17"/>
  <c r="AF26" i="17"/>
  <c r="AH26" i="17"/>
  <c r="AG26" i="17"/>
  <c r="AB26" i="17"/>
  <c r="X26" i="17"/>
  <c r="AD26" i="17"/>
  <c r="Z26" i="17"/>
  <c r="V26" i="17"/>
  <c r="AA26" i="17"/>
  <c r="T26" i="17"/>
  <c r="Y26" i="17"/>
  <c r="W26" i="17"/>
  <c r="U26" i="17"/>
  <c r="AC26" i="17"/>
  <c r="H29" i="17"/>
  <c r="F27" i="17"/>
  <c r="G27" i="17"/>
  <c r="P26" i="17"/>
  <c r="L26" i="17"/>
  <c r="S26" i="17"/>
  <c r="O26" i="17"/>
  <c r="K26" i="17"/>
  <c r="R26" i="17"/>
  <c r="N26" i="17"/>
  <c r="Q26" i="17"/>
  <c r="M26" i="17"/>
  <c r="AC27" i="16" l="1"/>
  <c r="T27" i="16"/>
  <c r="AB27" i="16"/>
  <c r="K27" i="16"/>
  <c r="W27" i="16"/>
  <c r="L27" i="16"/>
  <c r="U27" i="16"/>
  <c r="AE27" i="16"/>
  <c r="M27" i="16"/>
  <c r="R27" i="16"/>
  <c r="Q27" i="16"/>
  <c r="F34" i="18"/>
  <c r="N27" i="16"/>
  <c r="Z27" i="16"/>
  <c r="AF27" i="16"/>
  <c r="V27" i="16"/>
  <c r="AI27" i="16"/>
  <c r="P27" i="16"/>
  <c r="AG27" i="16"/>
  <c r="AH27" i="16"/>
  <c r="AD27" i="16"/>
  <c r="S27" i="16"/>
  <c r="X27" i="16"/>
  <c r="Y27" i="16"/>
  <c r="AA27" i="16"/>
  <c r="G28" i="16"/>
  <c r="AC28" i="16" s="1"/>
  <c r="H30" i="16"/>
  <c r="C29" i="16"/>
  <c r="E29" i="16"/>
  <c r="D29" i="16"/>
  <c r="B29" i="16"/>
  <c r="F28" i="16"/>
  <c r="E34" i="18"/>
  <c r="E29" i="17"/>
  <c r="D29" i="17"/>
  <c r="C29" i="17"/>
  <c r="F35" i="19" s="1"/>
  <c r="B29" i="17"/>
  <c r="E35" i="19" s="1"/>
  <c r="AE27" i="17"/>
  <c r="AI27" i="17"/>
  <c r="AG27" i="17"/>
  <c r="AH27" i="17"/>
  <c r="AF27" i="17"/>
  <c r="AC27" i="17"/>
  <c r="Y27" i="17"/>
  <c r="U27" i="17"/>
  <c r="AA27" i="17"/>
  <c r="W27" i="17"/>
  <c r="X27" i="17"/>
  <c r="AD27" i="17"/>
  <c r="V27" i="17"/>
  <c r="AB27" i="17"/>
  <c r="Z27" i="17"/>
  <c r="T27" i="17"/>
  <c r="H30" i="17"/>
  <c r="P27" i="17"/>
  <c r="L27" i="17"/>
  <c r="S27" i="17"/>
  <c r="O27" i="17"/>
  <c r="K27" i="17"/>
  <c r="R27" i="17"/>
  <c r="N27" i="17"/>
  <c r="Q27" i="17"/>
  <c r="M27" i="17"/>
  <c r="F28" i="17"/>
  <c r="G28" i="17"/>
  <c r="U28" i="16" l="1"/>
  <c r="AB28" i="16"/>
  <c r="AA28" i="16"/>
  <c r="L28" i="16"/>
  <c r="F29" i="16"/>
  <c r="T28" i="16"/>
  <c r="S28" i="16"/>
  <c r="AG28" i="16"/>
  <c r="AI28" i="16"/>
  <c r="AD28" i="16"/>
  <c r="AF28" i="16"/>
  <c r="M28" i="16"/>
  <c r="K28" i="16"/>
  <c r="N28" i="16"/>
  <c r="P28" i="16"/>
  <c r="V28" i="16"/>
  <c r="AE28" i="16"/>
  <c r="W28" i="16"/>
  <c r="Y28" i="16"/>
  <c r="R28" i="16"/>
  <c r="Q28" i="16"/>
  <c r="AH28" i="16"/>
  <c r="X28" i="16"/>
  <c r="Z28" i="16"/>
  <c r="O28" i="16"/>
  <c r="G29" i="16"/>
  <c r="F35" i="18"/>
  <c r="E35" i="18"/>
  <c r="H31" i="16"/>
  <c r="E30" i="16"/>
  <c r="D30" i="16"/>
  <c r="B30" i="16"/>
  <c r="C30" i="16"/>
  <c r="E30" i="17"/>
  <c r="D30" i="17"/>
  <c r="C30" i="17"/>
  <c r="F36" i="19" s="1"/>
  <c r="B30" i="17"/>
  <c r="E36" i="19" s="1"/>
  <c r="AE28" i="17"/>
  <c r="AI28" i="17"/>
  <c r="AH28" i="17"/>
  <c r="AG28" i="17"/>
  <c r="AF28" i="17"/>
  <c r="AD28" i="17"/>
  <c r="Z28" i="17"/>
  <c r="V28" i="17"/>
  <c r="AB28" i="17"/>
  <c r="X28" i="17"/>
  <c r="T28" i="17"/>
  <c r="AC28" i="17"/>
  <c r="U28" i="17"/>
  <c r="AA28" i="17"/>
  <c r="Y28" i="17"/>
  <c r="W28" i="17"/>
  <c r="H31" i="17"/>
  <c r="P28" i="17"/>
  <c r="L28" i="17"/>
  <c r="S28" i="17"/>
  <c r="O28" i="17"/>
  <c r="K28" i="17"/>
  <c r="R28" i="17"/>
  <c r="N28" i="17"/>
  <c r="Q28" i="17"/>
  <c r="M28" i="17"/>
  <c r="F29" i="17"/>
  <c r="G29" i="17"/>
  <c r="E36" i="18" l="1"/>
  <c r="F36" i="18"/>
  <c r="AB29" i="16"/>
  <c r="AE29" i="16"/>
  <c r="AF29" i="16"/>
  <c r="K29" i="16"/>
  <c r="P29" i="16"/>
  <c r="N29" i="16"/>
  <c r="Y29" i="16"/>
  <c r="O29" i="16"/>
  <c r="L29" i="16"/>
  <c r="V29" i="16"/>
  <c r="T29" i="16"/>
  <c r="U29" i="16"/>
  <c r="W29" i="16"/>
  <c r="AA29" i="16"/>
  <c r="AD29" i="16"/>
  <c r="AC29" i="16"/>
  <c r="R29" i="16"/>
  <c r="AI29" i="16"/>
  <c r="S29" i="16"/>
  <c r="Q29" i="16"/>
  <c r="AH29" i="16"/>
  <c r="X29" i="16"/>
  <c r="M29" i="16"/>
  <c r="Z29" i="16"/>
  <c r="AG29" i="16"/>
  <c r="G30" i="16"/>
  <c r="F30" i="16"/>
  <c r="H32" i="16"/>
  <c r="C31" i="16"/>
  <c r="E31" i="16"/>
  <c r="B31" i="16"/>
  <c r="D31" i="16"/>
  <c r="E31" i="17"/>
  <c r="B31" i="17"/>
  <c r="E37" i="19" s="1"/>
  <c r="D31" i="17"/>
  <c r="C31" i="17"/>
  <c r="F37" i="19" s="1"/>
  <c r="AE29" i="17"/>
  <c r="AI29" i="17"/>
  <c r="AF29" i="17"/>
  <c r="AH29" i="17"/>
  <c r="AG29" i="17"/>
  <c r="AA29" i="17"/>
  <c r="W29" i="17"/>
  <c r="AC29" i="17"/>
  <c r="Y29" i="17"/>
  <c r="U29" i="17"/>
  <c r="Z29" i="17"/>
  <c r="X29" i="17"/>
  <c r="V29" i="17"/>
  <c r="T29" i="17"/>
  <c r="AD29" i="17"/>
  <c r="AB29" i="17"/>
  <c r="F30" i="17"/>
  <c r="G30" i="17"/>
  <c r="H32" i="17"/>
  <c r="P29" i="17"/>
  <c r="L29" i="17"/>
  <c r="S29" i="17"/>
  <c r="O29" i="17"/>
  <c r="K29" i="17"/>
  <c r="R29" i="17"/>
  <c r="N29" i="17"/>
  <c r="Q29" i="17"/>
  <c r="M29" i="17"/>
  <c r="E37" i="18" l="1"/>
  <c r="G31" i="16"/>
  <c r="N31" i="16" s="1"/>
  <c r="F31" i="16"/>
  <c r="H33" i="16"/>
  <c r="D32" i="16"/>
  <c r="E32" i="16"/>
  <c r="C32" i="16"/>
  <c r="B32" i="16"/>
  <c r="AB30" i="16"/>
  <c r="V30" i="16"/>
  <c r="AF30" i="16"/>
  <c r="AA30" i="16"/>
  <c r="Y30" i="16"/>
  <c r="O30" i="16"/>
  <c r="AE30" i="16"/>
  <c r="AI30" i="16"/>
  <c r="T30" i="16"/>
  <c r="AD30" i="16"/>
  <c r="Z30" i="16"/>
  <c r="N30" i="16"/>
  <c r="AG30" i="16"/>
  <c r="S30" i="16"/>
  <c r="R30" i="16"/>
  <c r="K30" i="16"/>
  <c r="Q30" i="16"/>
  <c r="X30" i="16"/>
  <c r="W30" i="16"/>
  <c r="P30" i="16"/>
  <c r="L30" i="16"/>
  <c r="AC30" i="16"/>
  <c r="M30" i="16"/>
  <c r="U30" i="16"/>
  <c r="AH30" i="16"/>
  <c r="E32" i="17"/>
  <c r="D32" i="17"/>
  <c r="C32" i="17"/>
  <c r="F38" i="19" s="1"/>
  <c r="B32" i="17"/>
  <c r="E38" i="19" s="1"/>
  <c r="F37" i="18"/>
  <c r="AE30" i="17"/>
  <c r="AI30" i="17"/>
  <c r="AG30" i="17"/>
  <c r="AH30" i="17"/>
  <c r="AF30" i="17"/>
  <c r="AB30" i="17"/>
  <c r="X30" i="17"/>
  <c r="T30" i="17"/>
  <c r="AD30" i="17"/>
  <c r="Z30" i="17"/>
  <c r="V30" i="17"/>
  <c r="W30" i="17"/>
  <c r="AC30" i="17"/>
  <c r="U30" i="17"/>
  <c r="AA30" i="17"/>
  <c r="Y30" i="17"/>
  <c r="P30" i="17"/>
  <c r="L30" i="17"/>
  <c r="S30" i="17"/>
  <c r="O30" i="17"/>
  <c r="K30" i="17"/>
  <c r="R30" i="17"/>
  <c r="N30" i="17"/>
  <c r="Q30" i="17"/>
  <c r="M30" i="17"/>
  <c r="F31" i="17"/>
  <c r="G31" i="17"/>
  <c r="H33" i="17"/>
  <c r="AI31" i="16" l="1"/>
  <c r="M31" i="16"/>
  <c r="X31" i="16"/>
  <c r="U31" i="16"/>
  <c r="AF31" i="16"/>
  <c r="AE31" i="16"/>
  <c r="AH31" i="16"/>
  <c r="K31" i="16"/>
  <c r="AB31" i="16"/>
  <c r="R31" i="16"/>
  <c r="V31" i="16"/>
  <c r="O31" i="16"/>
  <c r="AA31" i="16"/>
  <c r="AG31" i="16"/>
  <c r="S31" i="16"/>
  <c r="P31" i="16"/>
  <c r="Y31" i="16"/>
  <c r="L31" i="16"/>
  <c r="AC31" i="16"/>
  <c r="AD31" i="16"/>
  <c r="Z31" i="16"/>
  <c r="W31" i="16"/>
  <c r="T31" i="16"/>
  <c r="Q31" i="16"/>
  <c r="H34" i="16"/>
  <c r="D33" i="16"/>
  <c r="B33" i="16"/>
  <c r="C33" i="16"/>
  <c r="E33" i="16"/>
  <c r="G32" i="16"/>
  <c r="F32" i="16"/>
  <c r="F38" i="18"/>
  <c r="E33" i="17"/>
  <c r="D33" i="17"/>
  <c r="B33" i="17"/>
  <c r="E39" i="19" s="1"/>
  <c r="C33" i="17"/>
  <c r="F39" i="19" s="1"/>
  <c r="E38" i="18"/>
  <c r="AE31" i="17"/>
  <c r="AI31" i="17"/>
  <c r="AH31" i="17"/>
  <c r="AG31" i="17"/>
  <c r="AF31" i="17"/>
  <c r="AC31" i="17"/>
  <c r="Y31" i="17"/>
  <c r="U31" i="17"/>
  <c r="AA31" i="17"/>
  <c r="W31" i="17"/>
  <c r="AB31" i="17"/>
  <c r="T31" i="17"/>
  <c r="Z31" i="17"/>
  <c r="AD31" i="17"/>
  <c r="X31" i="17"/>
  <c r="V31" i="17"/>
  <c r="H34" i="17"/>
  <c r="P31" i="17"/>
  <c r="L31" i="17"/>
  <c r="S31" i="17"/>
  <c r="O31" i="17"/>
  <c r="K31" i="17"/>
  <c r="R31" i="17"/>
  <c r="N31" i="17"/>
  <c r="Q31" i="17"/>
  <c r="M31" i="17"/>
  <c r="F32" i="17"/>
  <c r="G32" i="17"/>
  <c r="E39" i="18" l="1"/>
  <c r="Z32" i="16"/>
  <c r="L32" i="16"/>
  <c r="AH32" i="16"/>
  <c r="O32" i="16"/>
  <c r="M32" i="16"/>
  <c r="R32" i="16"/>
  <c r="AC32" i="16"/>
  <c r="AB32" i="16"/>
  <c r="AE32" i="16"/>
  <c r="V32" i="16"/>
  <c r="AI32" i="16"/>
  <c r="W32" i="16"/>
  <c r="N32" i="16"/>
  <c r="AF32" i="16"/>
  <c r="Q32" i="16"/>
  <c r="X32" i="16"/>
  <c r="AA32" i="16"/>
  <c r="AG32" i="16"/>
  <c r="K32" i="16"/>
  <c r="P32" i="16"/>
  <c r="U32" i="16"/>
  <c r="AD32" i="16"/>
  <c r="Y32" i="16"/>
  <c r="T32" i="16"/>
  <c r="S32" i="16"/>
  <c r="F33" i="16"/>
  <c r="G33" i="16"/>
  <c r="H35" i="16"/>
  <c r="C34" i="16"/>
  <c r="E34" i="16"/>
  <c r="D34" i="16"/>
  <c r="B34" i="16"/>
  <c r="F39" i="18"/>
  <c r="E34" i="17"/>
  <c r="D34" i="17"/>
  <c r="C34" i="17"/>
  <c r="F40" i="19" s="1"/>
  <c r="B34" i="17"/>
  <c r="E40" i="19" s="1"/>
  <c r="AE32" i="17"/>
  <c r="AI32" i="17"/>
  <c r="AF32" i="17"/>
  <c r="AH32" i="17"/>
  <c r="AG32" i="17"/>
  <c r="AD32" i="17"/>
  <c r="Z32" i="17"/>
  <c r="V32" i="17"/>
  <c r="AB32" i="17"/>
  <c r="X32" i="17"/>
  <c r="T32" i="17"/>
  <c r="Y32" i="17"/>
  <c r="W32" i="17"/>
  <c r="U32" i="17"/>
  <c r="AC32" i="17"/>
  <c r="AA32" i="17"/>
  <c r="P32" i="17"/>
  <c r="L32" i="17"/>
  <c r="S32" i="17"/>
  <c r="O32" i="17"/>
  <c r="K32" i="17"/>
  <c r="R32" i="17"/>
  <c r="N32" i="17"/>
  <c r="Q32" i="17"/>
  <c r="M32" i="17"/>
  <c r="F33" i="17"/>
  <c r="G33" i="17"/>
  <c r="H35" i="17"/>
  <c r="F34" i="16" l="1"/>
  <c r="G34" i="16"/>
  <c r="H36" i="16"/>
  <c r="D35" i="16"/>
  <c r="B35" i="16"/>
  <c r="C35" i="16"/>
  <c r="E35" i="16"/>
  <c r="AC33" i="16"/>
  <c r="AF33" i="16"/>
  <c r="V33" i="16"/>
  <c r="AB33" i="16"/>
  <c r="AD33" i="16"/>
  <c r="X33" i="16"/>
  <c r="AH33" i="16"/>
  <c r="AI33" i="16"/>
  <c r="R33" i="16"/>
  <c r="AE33" i="16"/>
  <c r="N33" i="16"/>
  <c r="AG33" i="16"/>
  <c r="Q33" i="16"/>
  <c r="S33" i="16"/>
  <c r="M33" i="16"/>
  <c r="AA33" i="16"/>
  <c r="W33" i="16"/>
  <c r="K33" i="16"/>
  <c r="P33" i="16"/>
  <c r="O33" i="16"/>
  <c r="Z33" i="16"/>
  <c r="Y33" i="16"/>
  <c r="T33" i="16"/>
  <c r="L33" i="16"/>
  <c r="U33" i="16"/>
  <c r="F40" i="18"/>
  <c r="E40" i="18"/>
  <c r="B35" i="17"/>
  <c r="E41" i="19" s="1"/>
  <c r="E35" i="17"/>
  <c r="D35" i="17"/>
  <c r="C35" i="17"/>
  <c r="F41" i="19" s="1"/>
  <c r="AE33" i="17"/>
  <c r="AI33" i="17"/>
  <c r="AH33" i="17"/>
  <c r="AF33" i="17"/>
  <c r="AG33" i="17"/>
  <c r="AA33" i="17"/>
  <c r="W33" i="17"/>
  <c r="AC33" i="17"/>
  <c r="Y33" i="17"/>
  <c r="U33" i="17"/>
  <c r="AD33" i="17"/>
  <c r="V33" i="17"/>
  <c r="AB33" i="17"/>
  <c r="T33" i="17"/>
  <c r="Z33" i="17"/>
  <c r="X33" i="17"/>
  <c r="H36" i="17"/>
  <c r="F34" i="17"/>
  <c r="G34" i="17"/>
  <c r="P33" i="17"/>
  <c r="L33" i="17"/>
  <c r="S33" i="17"/>
  <c r="O33" i="17"/>
  <c r="K33" i="17"/>
  <c r="R33" i="17"/>
  <c r="N33" i="17"/>
  <c r="Q33" i="17"/>
  <c r="M33" i="17"/>
  <c r="H37" i="16" l="1"/>
  <c r="B36" i="16"/>
  <c r="D36" i="16"/>
  <c r="C36" i="16"/>
  <c r="E36" i="16"/>
  <c r="F41" i="18"/>
  <c r="F35" i="16"/>
  <c r="G35" i="16"/>
  <c r="X34" i="16"/>
  <c r="Q34" i="16"/>
  <c r="L34" i="16"/>
  <c r="P34" i="16"/>
  <c r="S34" i="16"/>
  <c r="AE34" i="16"/>
  <c r="M34" i="16"/>
  <c r="AC34" i="16"/>
  <c r="Y34" i="16"/>
  <c r="AH34" i="16"/>
  <c r="Z34" i="16"/>
  <c r="U34" i="16"/>
  <c r="O34" i="16"/>
  <c r="AI34" i="16"/>
  <c r="R34" i="16"/>
  <c r="AA34" i="16"/>
  <c r="AF34" i="16"/>
  <c r="V34" i="16"/>
  <c r="AG34" i="16"/>
  <c r="AD34" i="16"/>
  <c r="K34" i="16"/>
  <c r="W34" i="16"/>
  <c r="T34" i="16"/>
  <c r="N34" i="16"/>
  <c r="AB34" i="16"/>
  <c r="E41" i="18"/>
  <c r="E36" i="17"/>
  <c r="D36" i="17"/>
  <c r="C36" i="17"/>
  <c r="F42" i="19" s="1"/>
  <c r="B36" i="17"/>
  <c r="E42" i="19" s="1"/>
  <c r="AE34" i="17"/>
  <c r="AI34" i="17"/>
  <c r="AH34" i="17"/>
  <c r="AG34" i="17"/>
  <c r="AF34" i="17"/>
  <c r="AB34" i="17"/>
  <c r="X34" i="17"/>
  <c r="T34" i="17"/>
  <c r="AA34" i="17"/>
  <c r="AD34" i="17"/>
  <c r="Z34" i="17"/>
  <c r="V34" i="17"/>
  <c r="AC34" i="17"/>
  <c r="Y34" i="17"/>
  <c r="W34" i="17"/>
  <c r="U34" i="17"/>
  <c r="G35" i="17"/>
  <c r="F35" i="17"/>
  <c r="P34" i="17"/>
  <c r="L34" i="17"/>
  <c r="S34" i="17"/>
  <c r="O34" i="17"/>
  <c r="K34" i="17"/>
  <c r="R34" i="17"/>
  <c r="N34" i="17"/>
  <c r="Q34" i="17"/>
  <c r="M34" i="17"/>
  <c r="H37" i="17"/>
  <c r="H38" i="16" l="1"/>
  <c r="B37" i="16"/>
  <c r="D37" i="16"/>
  <c r="C37" i="16"/>
  <c r="E37" i="16"/>
  <c r="F36" i="16"/>
  <c r="G36" i="16"/>
  <c r="AF35" i="16"/>
  <c r="U35" i="16"/>
  <c r="S35" i="16"/>
  <c r="AA35" i="16"/>
  <c r="V35" i="16"/>
  <c r="AB35" i="16"/>
  <c r="W35" i="16"/>
  <c r="N35" i="16"/>
  <c r="Z35" i="16"/>
  <c r="O35" i="16"/>
  <c r="Y35" i="16"/>
  <c r="AC35" i="16"/>
  <c r="AG35" i="16"/>
  <c r="X35" i="16"/>
  <c r="P35" i="16"/>
  <c r="AD35" i="16"/>
  <c r="Q35" i="16"/>
  <c r="L35" i="16"/>
  <c r="AI35" i="16"/>
  <c r="AH35" i="16"/>
  <c r="R35" i="16"/>
  <c r="T35" i="16"/>
  <c r="M35" i="16"/>
  <c r="AE35" i="16"/>
  <c r="K35" i="16"/>
  <c r="E42" i="18"/>
  <c r="F42" i="18"/>
  <c r="E37" i="17"/>
  <c r="D37" i="17"/>
  <c r="B37" i="17"/>
  <c r="E43" i="19" s="1"/>
  <c r="C37" i="17"/>
  <c r="F43" i="19" s="1"/>
  <c r="AE35" i="17"/>
  <c r="AI35" i="17"/>
  <c r="AF35" i="17"/>
  <c r="AH35" i="17"/>
  <c r="AG35" i="17"/>
  <c r="AC35" i="17"/>
  <c r="Y35" i="17"/>
  <c r="U35" i="17"/>
  <c r="AB35" i="17"/>
  <c r="X35" i="17"/>
  <c r="T35" i="17"/>
  <c r="AA35" i="17"/>
  <c r="W35" i="17"/>
  <c r="AD35" i="17"/>
  <c r="Z35" i="17"/>
  <c r="V35" i="17"/>
  <c r="G36" i="17"/>
  <c r="F36" i="17"/>
  <c r="H38" i="17"/>
  <c r="R35" i="17"/>
  <c r="N35" i="17"/>
  <c r="Q35" i="17"/>
  <c r="M35" i="17"/>
  <c r="P35" i="17"/>
  <c r="L35" i="17"/>
  <c r="S35" i="17"/>
  <c r="O35" i="17"/>
  <c r="K35" i="17"/>
  <c r="F37" i="16" l="1"/>
  <c r="G37" i="16"/>
  <c r="H39" i="16"/>
  <c r="C38" i="16"/>
  <c r="B38" i="16"/>
  <c r="D38" i="16"/>
  <c r="E38" i="16"/>
  <c r="M36" i="16"/>
  <c r="V36" i="16"/>
  <c r="AC36" i="16"/>
  <c r="AA36" i="16"/>
  <c r="AD36" i="16"/>
  <c r="AI36" i="16"/>
  <c r="Q36" i="16"/>
  <c r="L36" i="16"/>
  <c r="R36" i="16"/>
  <c r="AH36" i="16"/>
  <c r="S36" i="16"/>
  <c r="N36" i="16"/>
  <c r="Z36" i="16"/>
  <c r="AF36" i="16"/>
  <c r="AE36" i="16"/>
  <c r="U36" i="16"/>
  <c r="K36" i="16"/>
  <c r="O36" i="16"/>
  <c r="P36" i="16"/>
  <c r="X36" i="16"/>
  <c r="W36" i="16"/>
  <c r="Y36" i="16"/>
  <c r="T36" i="16"/>
  <c r="AG36" i="16"/>
  <c r="AB36" i="16"/>
  <c r="E43" i="18"/>
  <c r="F43" i="18"/>
  <c r="E38" i="17"/>
  <c r="D38" i="17"/>
  <c r="C38" i="17"/>
  <c r="F44" i="19" s="1"/>
  <c r="B38" i="17"/>
  <c r="E44" i="19" s="1"/>
  <c r="AE36" i="17"/>
  <c r="AI36" i="17"/>
  <c r="AH36" i="17"/>
  <c r="AF36" i="17"/>
  <c r="AG36" i="17"/>
  <c r="AD36" i="17"/>
  <c r="Z36" i="17"/>
  <c r="V36" i="17"/>
  <c r="AC36" i="17"/>
  <c r="Y36" i="17"/>
  <c r="U36" i="17"/>
  <c r="AB36" i="17"/>
  <c r="X36" i="17"/>
  <c r="T36" i="17"/>
  <c r="W36" i="17"/>
  <c r="AA36" i="17"/>
  <c r="H39" i="17"/>
  <c r="G37" i="17"/>
  <c r="F37" i="17"/>
  <c r="R36" i="17"/>
  <c r="N36" i="17"/>
  <c r="Q36" i="17"/>
  <c r="M36" i="17"/>
  <c r="P36" i="17"/>
  <c r="L36" i="17"/>
  <c r="S36" i="17"/>
  <c r="O36" i="17"/>
  <c r="K36" i="17"/>
  <c r="G38" i="16" l="1"/>
  <c r="F38" i="16"/>
  <c r="H40" i="16"/>
  <c r="D39" i="16"/>
  <c r="B39" i="16"/>
  <c r="C39" i="16"/>
  <c r="E39" i="16"/>
  <c r="AI37" i="16"/>
  <c r="AC37" i="16"/>
  <c r="L37" i="16"/>
  <c r="AH37" i="16"/>
  <c r="Q37" i="16"/>
  <c r="X37" i="16"/>
  <c r="AA37" i="16"/>
  <c r="AB37" i="16"/>
  <c r="M37" i="16"/>
  <c r="K37" i="16"/>
  <c r="AF37" i="16"/>
  <c r="N37" i="16"/>
  <c r="Y37" i="16"/>
  <c r="S37" i="16"/>
  <c r="AD37" i="16"/>
  <c r="P37" i="16"/>
  <c r="W37" i="16"/>
  <c r="Z37" i="16"/>
  <c r="O37" i="16"/>
  <c r="AE37" i="16"/>
  <c r="AG37" i="16"/>
  <c r="U37" i="16"/>
  <c r="R37" i="16"/>
  <c r="T37" i="16"/>
  <c r="V37" i="16"/>
  <c r="F44" i="18"/>
  <c r="E44" i="18"/>
  <c r="E39" i="17"/>
  <c r="D39" i="17"/>
  <c r="B39" i="17"/>
  <c r="E45" i="19" s="1"/>
  <c r="C39" i="17"/>
  <c r="F45" i="19" s="1"/>
  <c r="AE37" i="17"/>
  <c r="AI37" i="17"/>
  <c r="AH37" i="17"/>
  <c r="AG37" i="17"/>
  <c r="AF37" i="17"/>
  <c r="AA37" i="17"/>
  <c r="W37" i="17"/>
  <c r="AD37" i="17"/>
  <c r="Z37" i="17"/>
  <c r="V37" i="17"/>
  <c r="AC37" i="17"/>
  <c r="Y37" i="17"/>
  <c r="U37" i="17"/>
  <c r="AB37" i="17"/>
  <c r="X37" i="17"/>
  <c r="T37" i="17"/>
  <c r="G38" i="17"/>
  <c r="F38" i="17"/>
  <c r="R37" i="17"/>
  <c r="N37" i="17"/>
  <c r="Q37" i="17"/>
  <c r="M37" i="17"/>
  <c r="P37" i="17"/>
  <c r="L37" i="17"/>
  <c r="S37" i="17"/>
  <c r="O37" i="17"/>
  <c r="K37" i="17"/>
  <c r="H40" i="17"/>
  <c r="G39" i="16" l="1"/>
  <c r="F39" i="16"/>
  <c r="H41" i="16"/>
  <c r="B40" i="16"/>
  <c r="C40" i="16"/>
  <c r="E40" i="16"/>
  <c r="D40" i="16"/>
  <c r="AI38" i="16"/>
  <c r="AD38" i="16"/>
  <c r="U38" i="16"/>
  <c r="AB38" i="16"/>
  <c r="AA38" i="16"/>
  <c r="V38" i="16"/>
  <c r="M38" i="16"/>
  <c r="S38" i="16"/>
  <c r="N38" i="16"/>
  <c r="T38" i="16"/>
  <c r="R38" i="16"/>
  <c r="L38" i="16"/>
  <c r="K38" i="16"/>
  <c r="AG38" i="16"/>
  <c r="X38" i="16"/>
  <c r="AE38" i="16"/>
  <c r="AC38" i="16"/>
  <c r="Q38" i="16"/>
  <c r="W38" i="16"/>
  <c r="Y38" i="16"/>
  <c r="O38" i="16"/>
  <c r="AH38" i="16"/>
  <c r="Z38" i="16"/>
  <c r="AF38" i="16"/>
  <c r="P38" i="16"/>
  <c r="E45" i="18"/>
  <c r="E40" i="17"/>
  <c r="D40" i="17"/>
  <c r="C40" i="17"/>
  <c r="F46" i="19" s="1"/>
  <c r="B40" i="17"/>
  <c r="E46" i="19" s="1"/>
  <c r="F45" i="18"/>
  <c r="AE38" i="17"/>
  <c r="AI38" i="17"/>
  <c r="AH38" i="17"/>
  <c r="AF38" i="17"/>
  <c r="AG38" i="17"/>
  <c r="AB38" i="17"/>
  <c r="X38" i="17"/>
  <c r="T38" i="17"/>
  <c r="AA38" i="17"/>
  <c r="W38" i="17"/>
  <c r="AD38" i="17"/>
  <c r="Z38" i="17"/>
  <c r="V38" i="17"/>
  <c r="AC38" i="17"/>
  <c r="Y38" i="17"/>
  <c r="U38" i="17"/>
  <c r="G39" i="17"/>
  <c r="F39" i="17"/>
  <c r="H41" i="17"/>
  <c r="R38" i="17"/>
  <c r="N38" i="17"/>
  <c r="Q38" i="17"/>
  <c r="M38" i="17"/>
  <c r="P38" i="17"/>
  <c r="L38" i="17"/>
  <c r="S38" i="17"/>
  <c r="O38" i="17"/>
  <c r="K38" i="17"/>
  <c r="F40" i="16" l="1"/>
  <c r="H42" i="16"/>
  <c r="B41" i="16"/>
  <c r="C41" i="16"/>
  <c r="D41" i="16"/>
  <c r="E41" i="16"/>
  <c r="R39" i="16"/>
  <c r="AF39" i="16"/>
  <c r="AA39" i="16"/>
  <c r="AG39" i="16"/>
  <c r="X39" i="16"/>
  <c r="W39" i="16"/>
  <c r="U39" i="16"/>
  <c r="O39" i="16"/>
  <c r="V39" i="16"/>
  <c r="N39" i="16"/>
  <c r="AH39" i="16"/>
  <c r="Q39" i="16"/>
  <c r="K39" i="16"/>
  <c r="AD39" i="16"/>
  <c r="M39" i="16"/>
  <c r="AI39" i="16"/>
  <c r="T39" i="16"/>
  <c r="P39" i="16"/>
  <c r="Z39" i="16"/>
  <c r="AB39" i="16"/>
  <c r="S39" i="16"/>
  <c r="Y39" i="16"/>
  <c r="L39" i="16"/>
  <c r="AE39" i="16"/>
  <c r="AC39" i="16"/>
  <c r="G40" i="16"/>
  <c r="F46" i="18"/>
  <c r="E41" i="17"/>
  <c r="D41" i="17"/>
  <c r="B41" i="17"/>
  <c r="E47" i="19" s="1"/>
  <c r="C41" i="17"/>
  <c r="F47" i="19" s="1"/>
  <c r="E46" i="18"/>
  <c r="AE39" i="17"/>
  <c r="AI39" i="17"/>
  <c r="AF39" i="17"/>
  <c r="AH39" i="17"/>
  <c r="AG39" i="17"/>
  <c r="AC39" i="17"/>
  <c r="Y39" i="17"/>
  <c r="U39" i="17"/>
  <c r="AB39" i="17"/>
  <c r="X39" i="17"/>
  <c r="T39" i="17"/>
  <c r="AA39" i="17"/>
  <c r="W39" i="17"/>
  <c r="V39" i="17"/>
  <c r="AD39" i="17"/>
  <c r="Z39" i="17"/>
  <c r="R39" i="17"/>
  <c r="N39" i="17"/>
  <c r="Q39" i="17"/>
  <c r="M39" i="17"/>
  <c r="P39" i="17"/>
  <c r="L39" i="17"/>
  <c r="S39" i="17"/>
  <c r="O39" i="17"/>
  <c r="K39" i="17"/>
  <c r="G40" i="17"/>
  <c r="F40" i="17"/>
  <c r="H42" i="17"/>
  <c r="G41" i="16" l="1"/>
  <c r="AI41" i="16" s="1"/>
  <c r="F41" i="16"/>
  <c r="H43" i="16"/>
  <c r="D42" i="16"/>
  <c r="E42" i="16"/>
  <c r="B42" i="16"/>
  <c r="C42" i="16"/>
  <c r="Y40" i="16"/>
  <c r="P40" i="16"/>
  <c r="K40" i="16"/>
  <c r="Q40" i="16"/>
  <c r="AI40" i="16"/>
  <c r="AH40" i="16"/>
  <c r="AB40" i="16"/>
  <c r="O40" i="16"/>
  <c r="N40" i="16"/>
  <c r="U40" i="16"/>
  <c r="X40" i="16"/>
  <c r="V40" i="16"/>
  <c r="Z40" i="16"/>
  <c r="T40" i="16"/>
  <c r="R40" i="16"/>
  <c r="AE40" i="16"/>
  <c r="AA40" i="16"/>
  <c r="AG40" i="16"/>
  <c r="L40" i="16"/>
  <c r="AD40" i="16"/>
  <c r="AC40" i="16"/>
  <c r="S40" i="16"/>
  <c r="M40" i="16"/>
  <c r="AF40" i="16"/>
  <c r="W40" i="16"/>
  <c r="E47" i="18"/>
  <c r="F47" i="18"/>
  <c r="E42" i="17"/>
  <c r="D42" i="17"/>
  <c r="C42" i="17"/>
  <c r="F48" i="19" s="1"/>
  <c r="B42" i="17"/>
  <c r="E48" i="19" s="1"/>
  <c r="AE40" i="17"/>
  <c r="AI40" i="17"/>
  <c r="AH40" i="17"/>
  <c r="AG40" i="17"/>
  <c r="AF40" i="17"/>
  <c r="AD40" i="17"/>
  <c r="Z40" i="17"/>
  <c r="V40" i="17"/>
  <c r="AC40" i="17"/>
  <c r="Y40" i="17"/>
  <c r="U40" i="17"/>
  <c r="AB40" i="17"/>
  <c r="X40" i="17"/>
  <c r="T40" i="17"/>
  <c r="AA40" i="17"/>
  <c r="W40" i="17"/>
  <c r="H43" i="17"/>
  <c r="R40" i="17"/>
  <c r="N40" i="17"/>
  <c r="Q40" i="17"/>
  <c r="M40" i="17"/>
  <c r="P40" i="17"/>
  <c r="L40" i="17"/>
  <c r="S40" i="17"/>
  <c r="O40" i="17"/>
  <c r="K40" i="17"/>
  <c r="G41" i="17"/>
  <c r="F41" i="17"/>
  <c r="AE41" i="16" l="1"/>
  <c r="Q41" i="16"/>
  <c r="AG41" i="16"/>
  <c r="AB41" i="16"/>
  <c r="AA41" i="16"/>
  <c r="AC41" i="16"/>
  <c r="K41" i="16"/>
  <c r="R41" i="16"/>
  <c r="AH41" i="16"/>
  <c r="X41" i="16"/>
  <c r="V41" i="16"/>
  <c r="T41" i="16"/>
  <c r="AF41" i="16"/>
  <c r="P41" i="16"/>
  <c r="L41" i="16"/>
  <c r="M41" i="16"/>
  <c r="S41" i="16"/>
  <c r="Y41" i="16"/>
  <c r="O41" i="16"/>
  <c r="W41" i="16"/>
  <c r="Z41" i="16"/>
  <c r="N41" i="16"/>
  <c r="AD41" i="16"/>
  <c r="U41" i="16"/>
  <c r="F42" i="16"/>
  <c r="G42" i="16"/>
  <c r="H44" i="16"/>
  <c r="C43" i="16"/>
  <c r="E43" i="16"/>
  <c r="B43" i="16"/>
  <c r="D43" i="16"/>
  <c r="F48" i="18"/>
  <c r="E48" i="18"/>
  <c r="B43" i="17"/>
  <c r="E49" i="19" s="1"/>
  <c r="E43" i="17"/>
  <c r="D43" i="17"/>
  <c r="C43" i="17"/>
  <c r="F49" i="19" s="1"/>
  <c r="AE41" i="17"/>
  <c r="AI41" i="17"/>
  <c r="AH41" i="17"/>
  <c r="AF41" i="17"/>
  <c r="AG41" i="17"/>
  <c r="AA41" i="17"/>
  <c r="W41" i="17"/>
  <c r="AD41" i="17"/>
  <c r="Z41" i="17"/>
  <c r="V41" i="17"/>
  <c r="AC41" i="17"/>
  <c r="Y41" i="17"/>
  <c r="U41" i="17"/>
  <c r="AB41" i="17"/>
  <c r="X41" i="17"/>
  <c r="T41" i="17"/>
  <c r="G42" i="17"/>
  <c r="F42" i="17"/>
  <c r="H44" i="17"/>
  <c r="R41" i="17"/>
  <c r="N41" i="17"/>
  <c r="Q41" i="17"/>
  <c r="M41" i="17"/>
  <c r="P41" i="17"/>
  <c r="L41" i="17"/>
  <c r="S41" i="17"/>
  <c r="O41" i="17"/>
  <c r="K41" i="17"/>
  <c r="F43" i="16" l="1"/>
  <c r="E49" i="18"/>
  <c r="G43" i="16"/>
  <c r="H45" i="16"/>
  <c r="C44" i="16"/>
  <c r="D44" i="16"/>
  <c r="E44" i="16"/>
  <c r="B44" i="16"/>
  <c r="AE42" i="16"/>
  <c r="Z42" i="16"/>
  <c r="Q42" i="16"/>
  <c r="W42" i="16"/>
  <c r="R42" i="16"/>
  <c r="T42" i="16"/>
  <c r="K42" i="16"/>
  <c r="U42" i="16"/>
  <c r="N42" i="16"/>
  <c r="AA42" i="16"/>
  <c r="AH42" i="16"/>
  <c r="M42" i="16"/>
  <c r="AB42" i="16"/>
  <c r="AD42" i="16"/>
  <c r="AF42" i="16"/>
  <c r="AI42" i="16"/>
  <c r="AG42" i="16"/>
  <c r="V42" i="16"/>
  <c r="P42" i="16"/>
  <c r="L42" i="16"/>
  <c r="O42" i="16"/>
  <c r="AC42" i="16"/>
  <c r="Y42" i="16"/>
  <c r="X42" i="16"/>
  <c r="S42" i="16"/>
  <c r="F49" i="18"/>
  <c r="E44" i="17"/>
  <c r="D44" i="17"/>
  <c r="C44" i="17"/>
  <c r="F50" i="19" s="1"/>
  <c r="B44" i="17"/>
  <c r="E50" i="19" s="1"/>
  <c r="AE42" i="17"/>
  <c r="AI42" i="17"/>
  <c r="AF42" i="17"/>
  <c r="AH42" i="17"/>
  <c r="AG42" i="17"/>
  <c r="AB42" i="17"/>
  <c r="X42" i="17"/>
  <c r="T42" i="17"/>
  <c r="AA42" i="17"/>
  <c r="W42" i="17"/>
  <c r="AD42" i="17"/>
  <c r="Z42" i="17"/>
  <c r="V42" i="17"/>
  <c r="U42" i="17"/>
  <c r="AC42" i="17"/>
  <c r="Y42" i="17"/>
  <c r="R42" i="17"/>
  <c r="N42" i="17"/>
  <c r="Q42" i="17"/>
  <c r="M42" i="17"/>
  <c r="P42" i="17"/>
  <c r="L42" i="17"/>
  <c r="S42" i="17"/>
  <c r="O42" i="17"/>
  <c r="K42" i="17"/>
  <c r="G43" i="17"/>
  <c r="F43" i="17"/>
  <c r="H45" i="17"/>
  <c r="F44" i="16" l="1"/>
  <c r="G44" i="16"/>
  <c r="H46" i="16"/>
  <c r="C45" i="16"/>
  <c r="E45" i="16"/>
  <c r="D45" i="16"/>
  <c r="B45" i="16"/>
  <c r="AA43" i="16"/>
  <c r="AG43" i="16"/>
  <c r="P43" i="16"/>
  <c r="S43" i="16"/>
  <c r="V43" i="16"/>
  <c r="AD43" i="16"/>
  <c r="AC43" i="16"/>
  <c r="M43" i="16"/>
  <c r="Y43" i="16"/>
  <c r="N43" i="16"/>
  <c r="T43" i="16"/>
  <c r="AH43" i="16"/>
  <c r="AB43" i="16"/>
  <c r="O43" i="16"/>
  <c r="W43" i="16"/>
  <c r="U43" i="16"/>
  <c r="AI43" i="16"/>
  <c r="Q43" i="16"/>
  <c r="AE43" i="16"/>
  <c r="AF43" i="16"/>
  <c r="Z43" i="16"/>
  <c r="X43" i="16"/>
  <c r="R43" i="16"/>
  <c r="L43" i="16"/>
  <c r="K43" i="16"/>
  <c r="F50" i="18"/>
  <c r="B45" i="17"/>
  <c r="E51" i="19" s="1"/>
  <c r="E45" i="17"/>
  <c r="D45" i="17"/>
  <c r="C45" i="17"/>
  <c r="F51" i="19" s="1"/>
  <c r="E50" i="18"/>
  <c r="AE43" i="17"/>
  <c r="AI43" i="17"/>
  <c r="AH43" i="17"/>
  <c r="AG43" i="17"/>
  <c r="AF43" i="17"/>
  <c r="AC43" i="17"/>
  <c r="Y43" i="17"/>
  <c r="U43" i="17"/>
  <c r="AB43" i="17"/>
  <c r="X43" i="17"/>
  <c r="T43" i="17"/>
  <c r="AA43" i="17"/>
  <c r="W43" i="17"/>
  <c r="Z43" i="17"/>
  <c r="V43" i="17"/>
  <c r="AD43" i="17"/>
  <c r="H46" i="17"/>
  <c r="G44" i="17"/>
  <c r="F44" i="17"/>
  <c r="R43" i="17"/>
  <c r="N43" i="17"/>
  <c r="Q43" i="17"/>
  <c r="M43" i="17"/>
  <c r="P43" i="17"/>
  <c r="L43" i="17"/>
  <c r="S43" i="17"/>
  <c r="O43" i="17"/>
  <c r="K43" i="17"/>
  <c r="F51" i="18" l="1"/>
  <c r="E51" i="18"/>
  <c r="F45" i="16"/>
  <c r="H47" i="16"/>
  <c r="E46" i="16"/>
  <c r="C46" i="16"/>
  <c r="B46" i="16"/>
  <c r="D46" i="16"/>
  <c r="AE44" i="16"/>
  <c r="M44" i="16"/>
  <c r="P44" i="16"/>
  <c r="AH44" i="16"/>
  <c r="T44" i="16"/>
  <c r="AB44" i="16"/>
  <c r="AF44" i="16"/>
  <c r="Z44" i="16"/>
  <c r="AI44" i="16"/>
  <c r="Q44" i="16"/>
  <c r="X44" i="16"/>
  <c r="AD44" i="16"/>
  <c r="S44" i="16"/>
  <c r="AA44" i="16"/>
  <c r="V44" i="16"/>
  <c r="AG44" i="16"/>
  <c r="L44" i="16"/>
  <c r="R44" i="16"/>
  <c r="W44" i="16"/>
  <c r="N44" i="16"/>
  <c r="Y44" i="16"/>
  <c r="O44" i="16"/>
  <c r="AC44" i="16"/>
  <c r="U44" i="16"/>
  <c r="K44" i="16"/>
  <c r="G45" i="16"/>
  <c r="E46" i="17"/>
  <c r="D46" i="17"/>
  <c r="C46" i="17"/>
  <c r="F52" i="19" s="1"/>
  <c r="B46" i="17"/>
  <c r="E52" i="19" s="1"/>
  <c r="AE44" i="17"/>
  <c r="AI44" i="17"/>
  <c r="AH44" i="17"/>
  <c r="AF44" i="17"/>
  <c r="AG44" i="17"/>
  <c r="AD44" i="17"/>
  <c r="Z44" i="17"/>
  <c r="V44" i="17"/>
  <c r="AC44" i="17"/>
  <c r="Y44" i="17"/>
  <c r="U44" i="17"/>
  <c r="AB44" i="17"/>
  <c r="X44" i="17"/>
  <c r="T44" i="17"/>
  <c r="AA44" i="17"/>
  <c r="W44" i="17"/>
  <c r="G45" i="17"/>
  <c r="F45" i="17"/>
  <c r="H47" i="17"/>
  <c r="R44" i="17"/>
  <c r="N44" i="17"/>
  <c r="Q44" i="17"/>
  <c r="M44" i="17"/>
  <c r="P44" i="17"/>
  <c r="L44" i="17"/>
  <c r="S44" i="17"/>
  <c r="O44" i="17"/>
  <c r="K44" i="17"/>
  <c r="G46" i="16" l="1"/>
  <c r="F46" i="16"/>
  <c r="H48" i="16"/>
  <c r="B47" i="16"/>
  <c r="C47" i="16"/>
  <c r="E47" i="16"/>
  <c r="D47" i="16"/>
  <c r="F52" i="18"/>
  <c r="AA45" i="16"/>
  <c r="AF45" i="16"/>
  <c r="T45" i="16"/>
  <c r="O45" i="16"/>
  <c r="R45" i="16"/>
  <c r="AH45" i="16"/>
  <c r="M45" i="16"/>
  <c r="K45" i="16"/>
  <c r="X45" i="16"/>
  <c r="N45" i="16"/>
  <c r="P45" i="16"/>
  <c r="AC45" i="16"/>
  <c r="Z45" i="16"/>
  <c r="S45" i="16"/>
  <c r="AB45" i="16"/>
  <c r="AG45" i="16"/>
  <c r="U45" i="16"/>
  <c r="W45" i="16"/>
  <c r="Y45" i="16"/>
  <c r="AD45" i="16"/>
  <c r="Q45" i="16"/>
  <c r="V45" i="16"/>
  <c r="L45" i="16"/>
  <c r="AI45" i="16"/>
  <c r="AE45" i="16"/>
  <c r="E47" i="17"/>
  <c r="B47" i="17"/>
  <c r="E53" i="19" s="1"/>
  <c r="D47" i="17"/>
  <c r="C47" i="17"/>
  <c r="F53" i="19" s="1"/>
  <c r="E52" i="18"/>
  <c r="AE45" i="17"/>
  <c r="AI45" i="17"/>
  <c r="AF45" i="17"/>
  <c r="AH45" i="17"/>
  <c r="AG45" i="17"/>
  <c r="AA45" i="17"/>
  <c r="W45" i="17"/>
  <c r="AD45" i="17"/>
  <c r="Z45" i="17"/>
  <c r="V45" i="17"/>
  <c r="AC45" i="17"/>
  <c r="Y45" i="17"/>
  <c r="U45" i="17"/>
  <c r="T45" i="17"/>
  <c r="AB45" i="17"/>
  <c r="X45" i="17"/>
  <c r="H48" i="17"/>
  <c r="R45" i="17"/>
  <c r="N45" i="17"/>
  <c r="Q45" i="17"/>
  <c r="M45" i="17"/>
  <c r="P45" i="17"/>
  <c r="L45" i="17"/>
  <c r="S45" i="17"/>
  <c r="O45" i="17"/>
  <c r="K45" i="17"/>
  <c r="G46" i="17"/>
  <c r="F46" i="17"/>
  <c r="F53" i="18" l="1"/>
  <c r="E53" i="18"/>
  <c r="G47" i="16"/>
  <c r="W47" i="16" s="1"/>
  <c r="T46" i="16"/>
  <c r="AB46" i="16"/>
  <c r="R46" i="16"/>
  <c r="M46" i="16"/>
  <c r="Z46" i="16"/>
  <c r="U46" i="16"/>
  <c r="X46" i="16"/>
  <c r="AC46" i="16"/>
  <c r="P46" i="16"/>
  <c r="AH46" i="16"/>
  <c r="N46" i="16"/>
  <c r="AI46" i="16"/>
  <c r="V46" i="16"/>
  <c r="Q46" i="16"/>
  <c r="Y46" i="16"/>
  <c r="AE46" i="16"/>
  <c r="L46" i="16"/>
  <c r="W46" i="16"/>
  <c r="AF46" i="16"/>
  <c r="AD46" i="16"/>
  <c r="S46" i="16"/>
  <c r="O46" i="16"/>
  <c r="AA46" i="16"/>
  <c r="AG46" i="16"/>
  <c r="K46" i="16"/>
  <c r="H49" i="16"/>
  <c r="D48" i="16"/>
  <c r="B48" i="16"/>
  <c r="E48" i="16"/>
  <c r="C48" i="16"/>
  <c r="F47" i="16"/>
  <c r="E48" i="17"/>
  <c r="D48" i="17"/>
  <c r="C48" i="17"/>
  <c r="F54" i="19" s="1"/>
  <c r="B48" i="17"/>
  <c r="E54" i="19" s="1"/>
  <c r="AE46" i="17"/>
  <c r="AI46" i="17"/>
  <c r="AH46" i="17"/>
  <c r="AG46" i="17"/>
  <c r="AF46" i="17"/>
  <c r="AB46" i="17"/>
  <c r="X46" i="17"/>
  <c r="T46" i="17"/>
  <c r="AA46" i="17"/>
  <c r="W46" i="17"/>
  <c r="AD46" i="17"/>
  <c r="Z46" i="17"/>
  <c r="V46" i="17"/>
  <c r="Y46" i="17"/>
  <c r="U46" i="17"/>
  <c r="AC46" i="17"/>
  <c r="R46" i="17"/>
  <c r="N46" i="17"/>
  <c r="Q46" i="17"/>
  <c r="M46" i="17"/>
  <c r="P46" i="17"/>
  <c r="L46" i="17"/>
  <c r="S46" i="17"/>
  <c r="O46" i="17"/>
  <c r="K46" i="17"/>
  <c r="H49" i="17"/>
  <c r="G47" i="17"/>
  <c r="F47" i="17"/>
  <c r="Y47" i="16" l="1"/>
  <c r="AA47" i="16"/>
  <c r="N47" i="16"/>
  <c r="AD47" i="16"/>
  <c r="U47" i="16"/>
  <c r="T47" i="16"/>
  <c r="AF47" i="16"/>
  <c r="L47" i="16"/>
  <c r="AG47" i="16"/>
  <c r="AI47" i="16"/>
  <c r="R47" i="16"/>
  <c r="V47" i="16"/>
  <c r="O47" i="16"/>
  <c r="AH47" i="16"/>
  <c r="AB47" i="16"/>
  <c r="X47" i="16"/>
  <c r="S47" i="16"/>
  <c r="AE47" i="16"/>
  <c r="M47" i="16"/>
  <c r="P47" i="16"/>
  <c r="Q47" i="16"/>
  <c r="K47" i="16"/>
  <c r="AC47" i="16"/>
  <c r="Z47" i="16"/>
  <c r="G48" i="16"/>
  <c r="F48" i="16"/>
  <c r="F54" i="18"/>
  <c r="H50" i="16"/>
  <c r="B49" i="16"/>
  <c r="D49" i="16"/>
  <c r="C49" i="16"/>
  <c r="E49" i="16"/>
  <c r="E54" i="18"/>
  <c r="B49" i="17"/>
  <c r="E55" i="19" s="1"/>
  <c r="E49" i="17"/>
  <c r="D49" i="17"/>
  <c r="C49" i="17"/>
  <c r="F55" i="19" s="1"/>
  <c r="AE47" i="17"/>
  <c r="AI47" i="17"/>
  <c r="AH47" i="17"/>
  <c r="AF47" i="17"/>
  <c r="AG47" i="17"/>
  <c r="AC47" i="17"/>
  <c r="Y47" i="17"/>
  <c r="U47" i="17"/>
  <c r="AB47" i="17"/>
  <c r="X47" i="17"/>
  <c r="T47" i="17"/>
  <c r="AA47" i="17"/>
  <c r="W47" i="17"/>
  <c r="AD47" i="17"/>
  <c r="Z47" i="17"/>
  <c r="V47" i="17"/>
  <c r="H50" i="17"/>
  <c r="R47" i="17"/>
  <c r="N47" i="17"/>
  <c r="Q47" i="17"/>
  <c r="M47" i="17"/>
  <c r="P47" i="17"/>
  <c r="L47" i="17"/>
  <c r="S47" i="17"/>
  <c r="O47" i="17"/>
  <c r="K47" i="17"/>
  <c r="G48" i="17"/>
  <c r="F48" i="17"/>
  <c r="E55" i="18" l="1"/>
  <c r="F55" i="18"/>
  <c r="T48" i="16"/>
  <c r="Y48" i="16"/>
  <c r="N48" i="16"/>
  <c r="U48" i="16"/>
  <c r="P48" i="16"/>
  <c r="Q48" i="16"/>
  <c r="S48" i="16"/>
  <c r="AC48" i="16"/>
  <c r="AG48" i="16"/>
  <c r="O48" i="16"/>
  <c r="AA48" i="16"/>
  <c r="X48" i="16"/>
  <c r="AD48" i="16"/>
  <c r="K48" i="16"/>
  <c r="AI48" i="16"/>
  <c r="R48" i="16"/>
  <c r="AF48" i="16"/>
  <c r="V48" i="16"/>
  <c r="M48" i="16"/>
  <c r="AE48" i="16"/>
  <c r="W48" i="16"/>
  <c r="AH48" i="16"/>
  <c r="AB48" i="16"/>
  <c r="L48" i="16"/>
  <c r="Z48" i="16"/>
  <c r="G49" i="16"/>
  <c r="F49" i="16"/>
  <c r="H51" i="16"/>
  <c r="C50" i="16"/>
  <c r="D50" i="16"/>
  <c r="E50" i="16"/>
  <c r="B50" i="16"/>
  <c r="E50" i="17"/>
  <c r="D50" i="17"/>
  <c r="C50" i="17"/>
  <c r="F56" i="19" s="1"/>
  <c r="B50" i="17"/>
  <c r="E56" i="19" s="1"/>
  <c r="AE48" i="17"/>
  <c r="AI48" i="17"/>
  <c r="AF48" i="17"/>
  <c r="AH48" i="17"/>
  <c r="AG48" i="17"/>
  <c r="AD48" i="17"/>
  <c r="Z48" i="17"/>
  <c r="V48" i="17"/>
  <c r="AC48" i="17"/>
  <c r="Y48" i="17"/>
  <c r="U48" i="17"/>
  <c r="AB48" i="17"/>
  <c r="X48" i="17"/>
  <c r="T48" i="17"/>
  <c r="AA48" i="17"/>
  <c r="W48" i="17"/>
  <c r="H51" i="17"/>
  <c r="R48" i="17"/>
  <c r="N48" i="17"/>
  <c r="Q48" i="17"/>
  <c r="M48" i="17"/>
  <c r="P48" i="17"/>
  <c r="L48" i="17"/>
  <c r="S48" i="17"/>
  <c r="O48" i="17"/>
  <c r="K48" i="17"/>
  <c r="G49" i="17"/>
  <c r="F49" i="17"/>
  <c r="F56" i="18" l="1"/>
  <c r="G50" i="16"/>
  <c r="AH50" i="16" s="1"/>
  <c r="E56" i="18"/>
  <c r="F50" i="16"/>
  <c r="H52" i="16"/>
  <c r="D51" i="16"/>
  <c r="C51" i="16"/>
  <c r="E51" i="16"/>
  <c r="B51" i="16"/>
  <c r="AI49" i="16"/>
  <c r="AD49" i="16"/>
  <c r="U49" i="16"/>
  <c r="P49" i="16"/>
  <c r="AA49" i="16"/>
  <c r="V49" i="16"/>
  <c r="M49" i="16"/>
  <c r="O49" i="16"/>
  <c r="Y49" i="16"/>
  <c r="AE49" i="16"/>
  <c r="K49" i="16"/>
  <c r="Q49" i="16"/>
  <c r="X49" i="16"/>
  <c r="AH49" i="16"/>
  <c r="AB49" i="16"/>
  <c r="T49" i="16"/>
  <c r="Z49" i="16"/>
  <c r="L49" i="16"/>
  <c r="R49" i="16"/>
  <c r="N49" i="16"/>
  <c r="W49" i="16"/>
  <c r="S49" i="16"/>
  <c r="AG49" i="16"/>
  <c r="AC49" i="16"/>
  <c r="AF49" i="16"/>
  <c r="E51" i="17"/>
  <c r="D51" i="17"/>
  <c r="B51" i="17"/>
  <c r="E57" i="19" s="1"/>
  <c r="C51" i="17"/>
  <c r="F57" i="19" s="1"/>
  <c r="AE49" i="17"/>
  <c r="AI49" i="17"/>
  <c r="AH49" i="17"/>
  <c r="AF49" i="17"/>
  <c r="AG49" i="17"/>
  <c r="AA49" i="17"/>
  <c r="W49" i="17"/>
  <c r="AD49" i="17"/>
  <c r="Z49" i="17"/>
  <c r="V49" i="17"/>
  <c r="AC49" i="17"/>
  <c r="Y49" i="17"/>
  <c r="U49" i="17"/>
  <c r="X49" i="17"/>
  <c r="T49" i="17"/>
  <c r="AB49" i="17"/>
  <c r="R49" i="17"/>
  <c r="N49" i="17"/>
  <c r="Q49" i="17"/>
  <c r="M49" i="17"/>
  <c r="P49" i="17"/>
  <c r="L49" i="17"/>
  <c r="S49" i="17"/>
  <c r="O49" i="17"/>
  <c r="K49" i="17"/>
  <c r="H52" i="17"/>
  <c r="G50" i="17"/>
  <c r="F50" i="17"/>
  <c r="AB50" i="16" l="1"/>
  <c r="O50" i="16"/>
  <c r="AG50" i="16"/>
  <c r="AE50" i="16"/>
  <c r="U50" i="16"/>
  <c r="Q50" i="16"/>
  <c r="X50" i="16"/>
  <c r="V50" i="16"/>
  <c r="S50" i="16"/>
  <c r="R50" i="16"/>
  <c r="P50" i="16"/>
  <c r="AF50" i="16"/>
  <c r="T50" i="16"/>
  <c r="AI50" i="16"/>
  <c r="AC50" i="16"/>
  <c r="M50" i="16"/>
  <c r="N50" i="16"/>
  <c r="K50" i="16"/>
  <c r="AA50" i="16"/>
  <c r="W50" i="16"/>
  <c r="AD50" i="16"/>
  <c r="L50" i="16"/>
  <c r="Y50" i="16"/>
  <c r="Z50" i="16"/>
  <c r="G51" i="16"/>
  <c r="F51" i="16"/>
  <c r="E57" i="18"/>
  <c r="H53" i="16"/>
  <c r="B52" i="16"/>
  <c r="C52" i="16"/>
  <c r="D52" i="16"/>
  <c r="E52" i="16"/>
  <c r="F57" i="18"/>
  <c r="E52" i="17"/>
  <c r="D52" i="17"/>
  <c r="C52" i="17"/>
  <c r="F58" i="19" s="1"/>
  <c r="B52" i="17"/>
  <c r="E58" i="19" s="1"/>
  <c r="AE50" i="17"/>
  <c r="AI50" i="17"/>
  <c r="AF50" i="17"/>
  <c r="AH50" i="17"/>
  <c r="AG50" i="17"/>
  <c r="AB50" i="17"/>
  <c r="X50" i="17"/>
  <c r="T50" i="17"/>
  <c r="AA50" i="17"/>
  <c r="W50" i="17"/>
  <c r="AD50" i="17"/>
  <c r="Z50" i="17"/>
  <c r="V50" i="17"/>
  <c r="AC50" i="17"/>
  <c r="Y50" i="17"/>
  <c r="U50" i="17"/>
  <c r="R50" i="17"/>
  <c r="N50" i="17"/>
  <c r="Q50" i="17"/>
  <c r="M50" i="17"/>
  <c r="P50" i="17"/>
  <c r="L50" i="17"/>
  <c r="S50" i="17"/>
  <c r="O50" i="17"/>
  <c r="K50" i="17"/>
  <c r="G51" i="17"/>
  <c r="F51" i="17"/>
  <c r="H53" i="17"/>
  <c r="H54" i="16" l="1"/>
  <c r="C53" i="16"/>
  <c r="B53" i="16"/>
  <c r="D53" i="16"/>
  <c r="E53" i="16"/>
  <c r="AF51" i="16"/>
  <c r="AA51" i="16"/>
  <c r="R51" i="16"/>
  <c r="AB51" i="16"/>
  <c r="W51" i="16"/>
  <c r="N51" i="16"/>
  <c r="AG51" i="16"/>
  <c r="X51" i="16"/>
  <c r="S51" i="16"/>
  <c r="AD51" i="16"/>
  <c r="AC51" i="16"/>
  <c r="T51" i="16"/>
  <c r="O51" i="16"/>
  <c r="Y51" i="16"/>
  <c r="P51" i="16"/>
  <c r="K51" i="16"/>
  <c r="Z51" i="16"/>
  <c r="V51" i="16"/>
  <c r="U51" i="16"/>
  <c r="AH51" i="16"/>
  <c r="L51" i="16"/>
  <c r="Q51" i="16"/>
  <c r="M51" i="16"/>
  <c r="AI51" i="16"/>
  <c r="AE51" i="16"/>
  <c r="F52" i="16"/>
  <c r="G52" i="16"/>
  <c r="F58" i="18"/>
  <c r="E53" i="17"/>
  <c r="D53" i="17"/>
  <c r="C53" i="17"/>
  <c r="F59" i="19" s="1"/>
  <c r="B53" i="17"/>
  <c r="E59" i="19" s="1"/>
  <c r="E58" i="18"/>
  <c r="AE51" i="17"/>
  <c r="AI51" i="17"/>
  <c r="AF51" i="17"/>
  <c r="AH51" i="17"/>
  <c r="AG51" i="17"/>
  <c r="AC51" i="17"/>
  <c r="Y51" i="17"/>
  <c r="U51" i="17"/>
  <c r="AB51" i="17"/>
  <c r="X51" i="17"/>
  <c r="T51" i="17"/>
  <c r="AA51" i="17"/>
  <c r="W51" i="17"/>
  <c r="AD51" i="17"/>
  <c r="Z51" i="17"/>
  <c r="V51" i="17"/>
  <c r="H54" i="17"/>
  <c r="G52" i="17"/>
  <c r="F52" i="17"/>
  <c r="R51" i="17"/>
  <c r="N51" i="17"/>
  <c r="Q51" i="17"/>
  <c r="M51" i="17"/>
  <c r="P51" i="17"/>
  <c r="L51" i="17"/>
  <c r="S51" i="17"/>
  <c r="O51" i="17"/>
  <c r="K51" i="17"/>
  <c r="AE52" i="16" l="1"/>
  <c r="L52" i="16"/>
  <c r="K52" i="16"/>
  <c r="V52" i="16"/>
  <c r="AF52" i="16"/>
  <c r="AB52" i="16"/>
  <c r="AG52" i="16"/>
  <c r="R52" i="16"/>
  <c r="AA52" i="16"/>
  <c r="T52" i="16"/>
  <c r="O52" i="16"/>
  <c r="W52" i="16"/>
  <c r="Q52" i="16"/>
  <c r="N52" i="16"/>
  <c r="AI52" i="16"/>
  <c r="M52" i="16"/>
  <c r="P52" i="16"/>
  <c r="S52" i="16"/>
  <c r="AC52" i="16"/>
  <c r="Y52" i="16"/>
  <c r="AH52" i="16"/>
  <c r="Z52" i="16"/>
  <c r="AD52" i="16"/>
  <c r="X52" i="16"/>
  <c r="U52" i="16"/>
  <c r="F53" i="16"/>
  <c r="G53" i="16"/>
  <c r="E54" i="16"/>
  <c r="B54" i="16"/>
  <c r="C54" i="16"/>
  <c r="D54" i="16"/>
  <c r="E59" i="18"/>
  <c r="F59" i="18"/>
  <c r="E54" i="17"/>
  <c r="D54" i="17"/>
  <c r="C54" i="17"/>
  <c r="F60" i="19" s="1"/>
  <c r="B54" i="17"/>
  <c r="E60" i="19" s="1"/>
  <c r="AE52" i="17"/>
  <c r="AI52" i="17"/>
  <c r="AH52" i="17"/>
  <c r="AF52" i="17"/>
  <c r="AG52" i="17"/>
  <c r="AD52" i="17"/>
  <c r="Z52" i="17"/>
  <c r="V52" i="17"/>
  <c r="AC52" i="17"/>
  <c r="Y52" i="17"/>
  <c r="U52" i="17"/>
  <c r="AB52" i="17"/>
  <c r="X52" i="17"/>
  <c r="T52" i="17"/>
  <c r="W52" i="17"/>
  <c r="AA52" i="17"/>
  <c r="R52" i="17"/>
  <c r="N52" i="17"/>
  <c r="Q52" i="17"/>
  <c r="M52" i="17"/>
  <c r="P52" i="17"/>
  <c r="L52" i="17"/>
  <c r="S52" i="17"/>
  <c r="O52" i="17"/>
  <c r="K52" i="17"/>
  <c r="G53" i="17"/>
  <c r="F53" i="17"/>
  <c r="E60" i="18" l="1"/>
  <c r="G54" i="16"/>
  <c r="F54" i="16"/>
  <c r="F60" i="18"/>
  <c r="AI53" i="16"/>
  <c r="K53" i="16"/>
  <c r="AG53" i="16"/>
  <c r="AC53" i="16"/>
  <c r="Y53" i="16"/>
  <c r="AF53" i="16"/>
  <c r="AB53" i="16"/>
  <c r="P53" i="16"/>
  <c r="O53" i="16"/>
  <c r="AH53" i="16"/>
  <c r="T53" i="16"/>
  <c r="L53" i="16"/>
  <c r="S53" i="16"/>
  <c r="Q53" i="16"/>
  <c r="U53" i="16"/>
  <c r="N53" i="16"/>
  <c r="Z53" i="16"/>
  <c r="AD53" i="16"/>
  <c r="M53" i="16"/>
  <c r="AE53" i="16"/>
  <c r="R53" i="16"/>
  <c r="X53" i="16"/>
  <c r="V53" i="16"/>
  <c r="W53" i="16"/>
  <c r="AA53" i="16"/>
  <c r="AE53" i="17"/>
  <c r="AI53" i="17"/>
  <c r="AH53" i="17"/>
  <c r="AG53" i="17"/>
  <c r="AF53" i="17"/>
  <c r="AA53" i="17"/>
  <c r="W53" i="17"/>
  <c r="AD53" i="17"/>
  <c r="Z53" i="17"/>
  <c r="V53" i="17"/>
  <c r="AC53" i="17"/>
  <c r="Y53" i="17"/>
  <c r="U53" i="17"/>
  <c r="AB53" i="17"/>
  <c r="X53" i="17"/>
  <c r="T53" i="17"/>
  <c r="G54" i="17"/>
  <c r="F54" i="17"/>
  <c r="R53" i="17"/>
  <c r="N53" i="17"/>
  <c r="Q53" i="17"/>
  <c r="M53" i="17"/>
  <c r="P53" i="17"/>
  <c r="L53" i="17"/>
  <c r="S53" i="17"/>
  <c r="O53" i="17"/>
  <c r="K53" i="17"/>
  <c r="N54" i="16" l="1"/>
  <c r="N56" i="16" s="1"/>
  <c r="AB54" i="16"/>
  <c r="AB56" i="16" s="1"/>
  <c r="K54" i="16"/>
  <c r="K56" i="16" s="1"/>
  <c r="AC54" i="16"/>
  <c r="AC56" i="16" s="1"/>
  <c r="T54" i="16"/>
  <c r="T56" i="16" s="1"/>
  <c r="AI54" i="16"/>
  <c r="AD54" i="16"/>
  <c r="AD56" i="16" s="1"/>
  <c r="U54" i="16"/>
  <c r="U56" i="16" s="1"/>
  <c r="L54" i="16"/>
  <c r="L56" i="16" s="1"/>
  <c r="AH54" i="16"/>
  <c r="AH56" i="16" s="1"/>
  <c r="AF54" i="16"/>
  <c r="AA54" i="16"/>
  <c r="AA56" i="16" s="1"/>
  <c r="Z54" i="16"/>
  <c r="Z56" i="16" s="1"/>
  <c r="X54" i="16"/>
  <c r="X56" i="16" s="1"/>
  <c r="O54" i="16"/>
  <c r="O56" i="16" s="1"/>
  <c r="V54" i="16"/>
  <c r="V56" i="16" s="1"/>
  <c r="P54" i="16"/>
  <c r="P56" i="16" s="1"/>
  <c r="Y54" i="16"/>
  <c r="Y56" i="16" s="1"/>
  <c r="R54" i="16"/>
  <c r="R56" i="16" s="1"/>
  <c r="AE54" i="16"/>
  <c r="AE56" i="16" s="1"/>
  <c r="AG54" i="16"/>
  <c r="AG56" i="16" s="1"/>
  <c r="M54" i="16"/>
  <c r="M56" i="16" s="1"/>
  <c r="W54" i="16"/>
  <c r="W56" i="16" s="1"/>
  <c r="S54" i="16"/>
  <c r="S56" i="16" s="1"/>
  <c r="Q54" i="16"/>
  <c r="Q56" i="16" s="1"/>
  <c r="AE54" i="17"/>
  <c r="AE56" i="17" s="1"/>
  <c r="AI54" i="17"/>
  <c r="AI56" i="17" s="1"/>
  <c r="AF54" i="17"/>
  <c r="AF56" i="17" s="1"/>
  <c r="AH54" i="17"/>
  <c r="AH56" i="17" s="1"/>
  <c r="AG54" i="17"/>
  <c r="AG56" i="17" s="1"/>
  <c r="AB54" i="17"/>
  <c r="AB55" i="17" s="1"/>
  <c r="X54" i="17"/>
  <c r="X56" i="17" s="1"/>
  <c r="T54" i="17"/>
  <c r="T56" i="17" s="1"/>
  <c r="AA54" i="17"/>
  <c r="AA56" i="17" s="1"/>
  <c r="W54" i="17"/>
  <c r="AD54" i="17"/>
  <c r="AD55" i="17" s="1"/>
  <c r="Z54" i="17"/>
  <c r="Z56" i="17" s="1"/>
  <c r="V54" i="17"/>
  <c r="V56" i="17" s="1"/>
  <c r="AC54" i="17"/>
  <c r="AC56" i="17" s="1"/>
  <c r="Y54" i="17"/>
  <c r="Y56" i="17" s="1"/>
  <c r="U54" i="17"/>
  <c r="U56" i="17" s="1"/>
  <c r="R54" i="17"/>
  <c r="R56" i="17" s="1"/>
  <c r="N54" i="17"/>
  <c r="Q54" i="17"/>
  <c r="Q56" i="17" s="1"/>
  <c r="M54" i="17"/>
  <c r="M56" i="17" s="1"/>
  <c r="P54" i="17"/>
  <c r="P56" i="17" s="1"/>
  <c r="L54" i="17"/>
  <c r="S54" i="17"/>
  <c r="S56" i="17" s="1"/>
  <c r="O54" i="17"/>
  <c r="O56" i="17" s="1"/>
  <c r="K54" i="17"/>
  <c r="K56" i="17" s="1"/>
  <c r="U55" i="16" l="1"/>
  <c r="E4" i="19" s="1"/>
  <c r="V55" i="16"/>
  <c r="F4" i="19" s="1"/>
  <c r="T55" i="16"/>
  <c r="Q55" i="16"/>
  <c r="F5" i="19" s="1"/>
  <c r="O55" i="16"/>
  <c r="S55" i="16"/>
  <c r="X55" i="16"/>
  <c r="AA55" i="16"/>
  <c r="R55" i="16"/>
  <c r="G5" i="19" s="1"/>
  <c r="AD55" i="16"/>
  <c r="P55" i="16"/>
  <c r="E5" i="19" s="1"/>
  <c r="AC55" i="16"/>
  <c r="AB55" i="16"/>
  <c r="M55" i="16"/>
  <c r="W55" i="16"/>
  <c r="G4" i="19" s="1"/>
  <c r="L55" i="16"/>
  <c r="F6" i="19" s="1"/>
  <c r="AH55" i="16"/>
  <c r="AI56" i="16"/>
  <c r="AI55" i="16"/>
  <c r="AF56" i="16"/>
  <c r="AF55" i="16"/>
  <c r="AJ56" i="16"/>
  <c r="K55" i="16"/>
  <c r="E6" i="19" s="1"/>
  <c r="AE55" i="16"/>
  <c r="N55" i="16"/>
  <c r="AG55" i="16"/>
  <c r="Y55" i="16"/>
  <c r="Z55" i="16"/>
  <c r="AI55" i="17"/>
  <c r="AA55" i="17"/>
  <c r="AC55" i="17"/>
  <c r="AE55" i="17"/>
  <c r="AH55" i="17"/>
  <c r="AF55" i="17"/>
  <c r="AG55" i="17"/>
  <c r="Y55" i="17"/>
  <c r="Z55" i="17"/>
  <c r="X55" i="17"/>
  <c r="W56" i="17"/>
  <c r="W55" i="17"/>
  <c r="G4" i="18" s="1"/>
  <c r="T55" i="17"/>
  <c r="AB56" i="17"/>
  <c r="AD56" i="17"/>
  <c r="V55" i="17"/>
  <c r="F4" i="18" s="1"/>
  <c r="U55" i="17"/>
  <c r="E4" i="18" s="1"/>
  <c r="O55" i="17"/>
  <c r="M55" i="17"/>
  <c r="G6" i="18" s="1"/>
  <c r="K55" i="17"/>
  <c r="E6" i="18" s="1"/>
  <c r="L56" i="17"/>
  <c r="L55" i="17"/>
  <c r="F6" i="18" s="1"/>
  <c r="N56" i="17"/>
  <c r="N55" i="17"/>
  <c r="Q55" i="17"/>
  <c r="F5" i="18" s="1"/>
  <c r="R55" i="17"/>
  <c r="G5" i="18" s="1"/>
  <c r="S55" i="17"/>
  <c r="P55" i="17"/>
  <c r="E5" i="18" s="1"/>
  <c r="AJ56" i="17" l="1"/>
</calcChain>
</file>

<file path=xl/sharedStrings.xml><?xml version="1.0" encoding="utf-8"?>
<sst xmlns="http://schemas.openxmlformats.org/spreadsheetml/2006/main" count="1598" uniqueCount="297">
  <si>
    <t>No.</t>
  </si>
  <si>
    <t>Probabilidad</t>
  </si>
  <si>
    <t>Riesgo Inherente</t>
  </si>
  <si>
    <t>Nombre del Control</t>
  </si>
  <si>
    <t>Implementación
(Seleccionar)</t>
  </si>
  <si>
    <t>Tipo de Control
(Seleccionar)</t>
  </si>
  <si>
    <t>Control Clave
(Seleccionar)</t>
  </si>
  <si>
    <t>Fecha de Implementación
(dd/mm/aa)</t>
  </si>
  <si>
    <t>Operacional</t>
  </si>
  <si>
    <t>Impacto</t>
  </si>
  <si>
    <t>Baja</t>
  </si>
  <si>
    <t>Alta</t>
  </si>
  <si>
    <t>Efectividad</t>
  </si>
  <si>
    <t>Riesgo</t>
  </si>
  <si>
    <t xml:space="preserve">Identificación y diseño de los controles </t>
  </si>
  <si>
    <t>Descripción del Control
(Casilla para completar)</t>
  </si>
  <si>
    <t>Proceso</t>
  </si>
  <si>
    <t>PROCESO</t>
  </si>
  <si>
    <t>Estructura</t>
  </si>
  <si>
    <t>Documentado</t>
  </si>
  <si>
    <t>Frecuencia Planeada</t>
  </si>
  <si>
    <t>Ejecución</t>
  </si>
  <si>
    <t xml:space="preserve">FASE II. EVALUACIÓN DEL CONTROL  </t>
  </si>
  <si>
    <t>Tipo de Control</t>
  </si>
  <si>
    <t>Definición del Objetivo</t>
  </si>
  <si>
    <t>Conforme al Objetivo</t>
  </si>
  <si>
    <t>Aspectos Económicos</t>
  </si>
  <si>
    <t>Alcance del Control</t>
  </si>
  <si>
    <t>Comprensibilidad</t>
  </si>
  <si>
    <t>Responsables Definidos</t>
  </si>
  <si>
    <t>Indicadores</t>
  </si>
  <si>
    <t>Causas</t>
  </si>
  <si>
    <t>Relacionados</t>
  </si>
  <si>
    <t>Internos</t>
  </si>
  <si>
    <t>Contrapartes</t>
  </si>
  <si>
    <t>Producto</t>
  </si>
  <si>
    <t>Jurisdicción</t>
  </si>
  <si>
    <t>Factor de Riesgo (Agente Generador)</t>
  </si>
  <si>
    <t>FACTOR ESPECIFICO</t>
  </si>
  <si>
    <t>Compañía</t>
  </si>
  <si>
    <t>CODIGO DEL RIESGO</t>
  </si>
  <si>
    <t>Factor Específico</t>
  </si>
  <si>
    <t>Socios</t>
  </si>
  <si>
    <t>Cliente</t>
  </si>
  <si>
    <t>Proveedor</t>
  </si>
  <si>
    <t>Empleado</t>
  </si>
  <si>
    <t>Otros</t>
  </si>
  <si>
    <t>Terceros</t>
  </si>
  <si>
    <t>Incrementos injustificados en la facturación que den indicios de actividades ilícitas relacionadas a LA/FT*</t>
  </si>
  <si>
    <t xml:space="preserve">Comportamientos inusuales o sospechosos de empleados dentro y fuera de la empresa que  faciliten LA/FT </t>
  </si>
  <si>
    <t>Que exista incremento patrimonial no justificado de los clientes y /o proveedores, producto del  LA/FT</t>
  </si>
  <si>
    <t>Contagio</t>
  </si>
  <si>
    <t>Indicadores Propuestos</t>
  </si>
  <si>
    <t>Legal</t>
  </si>
  <si>
    <t>Reputacional</t>
  </si>
  <si>
    <t>FUENTE DE RIESGO (AGENTE GENERADOR)</t>
  </si>
  <si>
    <t>x</t>
  </si>
  <si>
    <t>Valoración del Riesgo Inherente</t>
  </si>
  <si>
    <t>Valoración del Riesgo Residual</t>
  </si>
  <si>
    <t>DESCRIPCION DEL RIESGO</t>
  </si>
  <si>
    <t>CAUSA(S)</t>
  </si>
  <si>
    <t>OTRA CAUSA…(Especifique)</t>
  </si>
  <si>
    <t>PROBABILIDAD DE OCURRENCIA</t>
  </si>
  <si>
    <t>MAGNITUD DE IMPACTO</t>
  </si>
  <si>
    <t>NIVEL</t>
  </si>
  <si>
    <t>DESCRIPCION</t>
  </si>
  <si>
    <t>CLASIFICACION</t>
  </si>
  <si>
    <t>TIPO DE RIESGO</t>
  </si>
  <si>
    <t>No especificado</t>
  </si>
  <si>
    <t>Adecuado</t>
  </si>
  <si>
    <t>Inadecuado</t>
  </si>
  <si>
    <t>Viable</t>
  </si>
  <si>
    <t>No Viable</t>
  </si>
  <si>
    <t>Comprensible</t>
  </si>
  <si>
    <t>Difícil</t>
  </si>
  <si>
    <t>Si</t>
  </si>
  <si>
    <t>No</t>
  </si>
  <si>
    <t>Calificación de los Controles</t>
  </si>
  <si>
    <t>Riesgo Residual</t>
  </si>
  <si>
    <t>Efectividad del Control</t>
  </si>
  <si>
    <t>CLASIFICACIÓN</t>
  </si>
  <si>
    <t>Descapitalización de la Entidad</t>
  </si>
  <si>
    <t>Fraude</t>
  </si>
  <si>
    <t>Pérdida de Imagen</t>
  </si>
  <si>
    <t>Pérdida de Información</t>
  </si>
  <si>
    <t>Pérdida Económica (PyG)</t>
  </si>
  <si>
    <t>Reprocesos</t>
  </si>
  <si>
    <t>Sanciones Administrativas</t>
  </si>
  <si>
    <t>Sanciones Contractuales</t>
  </si>
  <si>
    <t>Sanciones Penales</t>
  </si>
  <si>
    <t>Testaferrato</t>
  </si>
  <si>
    <t>Vinculación Clientes LA/FT</t>
  </si>
  <si>
    <t>Consecuencias</t>
  </si>
  <si>
    <t>Insatisfacción de los Clientes</t>
  </si>
  <si>
    <t>Pérdida de Clientes</t>
  </si>
  <si>
    <t>Vinculación Proveedores LA/FT</t>
  </si>
  <si>
    <t>Riesgo Asociado</t>
  </si>
  <si>
    <t>CONSECUENCIAS</t>
  </si>
  <si>
    <t>RIESGO ASOCIADO</t>
  </si>
  <si>
    <t>Se desconoce</t>
  </si>
  <si>
    <t>Efectividad Controles Preventivos</t>
  </si>
  <si>
    <t>Efectividad Controles Detectivos</t>
  </si>
  <si>
    <t>Efectividad Controles</t>
  </si>
  <si>
    <t>Numero de Riesgos a Evaluar</t>
  </si>
  <si>
    <t>Nro de Riesgos Evaluados</t>
  </si>
  <si>
    <t>Consecutivo a Evaluar</t>
  </si>
  <si>
    <t>Posición</t>
  </si>
  <si>
    <t>Codigo</t>
  </si>
  <si>
    <t>Nombre</t>
  </si>
  <si>
    <t>Cuadrante</t>
  </si>
  <si>
    <t>Combinacion</t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</si>
  <si>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</si>
  <si>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</si>
  <si>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</si>
  <si>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</si>
  <si>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</si>
  <si>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</si>
  <si>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</si>
  <si>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</si>
  <si>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</si>
  <si>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Riesgos</t>
  </si>
  <si>
    <t>Nro de Riesgos</t>
  </si>
  <si>
    <t>Desplazamiento</t>
  </si>
  <si>
    <t>Actividades y Personas</t>
  </si>
  <si>
    <t>Actividades o Personas</t>
  </si>
  <si>
    <t>34</t>
  </si>
  <si>
    <t>35</t>
  </si>
  <si>
    <t>41</t>
  </si>
  <si>
    <t>42</t>
  </si>
  <si>
    <t>43</t>
  </si>
  <si>
    <t>44</t>
  </si>
  <si>
    <t>45</t>
  </si>
  <si>
    <t>51</t>
  </si>
  <si>
    <t>52</t>
  </si>
  <si>
    <t>53</t>
  </si>
  <si>
    <t>54</t>
  </si>
  <si>
    <t>55</t>
  </si>
  <si>
    <t>14</t>
  </si>
  <si>
    <t>15</t>
  </si>
  <si>
    <t>24</t>
  </si>
  <si>
    <t>25</t>
  </si>
  <si>
    <t>MAPEO RIESGO INHERENTE LAFT Y CORRUPCION</t>
  </si>
  <si>
    <t>MAPEO RIESGO RESIDUAL LAFT Y CORRUPCION</t>
  </si>
  <si>
    <t>MAPA DE RIESGO INHERENTE LAFT</t>
  </si>
  <si>
    <t>MAPA DE RIESGO RESIDUAL LAFT</t>
  </si>
  <si>
    <t>Media</t>
  </si>
  <si>
    <t>BAJO</t>
  </si>
  <si>
    <t>[1-3)</t>
  </si>
  <si>
    <t>MEDIO</t>
  </si>
  <si>
    <t>[3-6)</t>
  </si>
  <si>
    <t>ALTO</t>
  </si>
  <si>
    <t>[6-9]</t>
  </si>
  <si>
    <t>MATRIZ DE RIESGOS LA/FT/FPADM Y VALORACIÓN DE LOS CONTROLES</t>
  </si>
  <si>
    <t>fallas en la seguridad de la informacion</t>
  </si>
  <si>
    <t>falta de vigilancia y monitoreo de la actividad remota</t>
  </si>
  <si>
    <t>IT</t>
  </si>
  <si>
    <t>CUMPLIMIENTO</t>
  </si>
  <si>
    <t>DN</t>
  </si>
  <si>
    <t>OPERACIONES</t>
  </si>
  <si>
    <t>ActivosFijos</t>
  </si>
  <si>
    <t>AnálisisFinanciero</t>
  </si>
  <si>
    <t>Archivo</t>
  </si>
  <si>
    <t>ComprasyContratación</t>
  </si>
  <si>
    <t>ContabilidadeImpuestos2</t>
  </si>
  <si>
    <t>DimensionamientoyProgramación</t>
  </si>
  <si>
    <t>DireccionamientoEstratégico</t>
  </si>
  <si>
    <t>ExperienciadelClienteInterno</t>
  </si>
  <si>
    <t>Formación</t>
  </si>
  <si>
    <t>InteligenciadeNegocios</t>
  </si>
  <si>
    <t>ReclutamientoySelección</t>
  </si>
  <si>
    <t>RelacionesLaborales</t>
  </si>
  <si>
    <t>SeguridaddelaInformación</t>
  </si>
  <si>
    <t>SeguridadFísica</t>
  </si>
  <si>
    <t>ServiciosGeneralesyMantenimiento</t>
  </si>
  <si>
    <t>SoporteInfraestructuraTecnológica</t>
  </si>
  <si>
    <t>SeguridadySaludenelTrabajo</t>
  </si>
  <si>
    <t>Telecomunicaciones</t>
  </si>
  <si>
    <t>TesoreríayFacturación</t>
  </si>
  <si>
    <t>AC</t>
  </si>
  <si>
    <t>AF</t>
  </si>
  <si>
    <t>AR</t>
  </si>
  <si>
    <t>CC</t>
  </si>
  <si>
    <t>CN</t>
  </si>
  <si>
    <t>CU</t>
  </si>
  <si>
    <t>DP</t>
  </si>
  <si>
    <t>DE</t>
  </si>
  <si>
    <t>DT</t>
  </si>
  <si>
    <t>EN</t>
  </si>
  <si>
    <t>ECI</t>
  </si>
  <si>
    <t>FO</t>
  </si>
  <si>
    <t>IN</t>
  </si>
  <si>
    <t>RS</t>
  </si>
  <si>
    <t>RL</t>
  </si>
  <si>
    <t>SI</t>
  </si>
  <si>
    <t>SF</t>
  </si>
  <si>
    <t>SG</t>
  </si>
  <si>
    <t>SST</t>
  </si>
  <si>
    <t>TC</t>
  </si>
  <si>
    <t>TF</t>
  </si>
  <si>
    <t>DESARROLLO DE NEGOCIO</t>
  </si>
  <si>
    <t>IT - BUSINESS INTELLIGENCE</t>
  </si>
  <si>
    <t>IT - RESTO</t>
  </si>
  <si>
    <t>TALENTO &amp; EXP. INTERNA</t>
  </si>
  <si>
    <t>ADMININISTRATIVO</t>
  </si>
  <si>
    <t>FINANCIERO &amp; CONTABLE</t>
  </si>
  <si>
    <t>CONTROL</t>
  </si>
  <si>
    <t>Revisión  de cada contrato por parte de cumplimiento</t>
  </si>
  <si>
    <t>Revisión periódica de BBDD</t>
  </si>
  <si>
    <t>Doble verificación de la información recibida</t>
  </si>
  <si>
    <t>Que algún proveedor reciba sobornos de cualquier forma</t>
  </si>
  <si>
    <t>Que algún cliente reciba sobornos de cualquier forma</t>
  </si>
  <si>
    <t>Que algún empleado reciba sobornos de cualquier forma</t>
  </si>
  <si>
    <t>Desconocer que las caracteristicas propias del servicio prestado a un cliente o proveedor favorezcan actividades de Soborno</t>
  </si>
  <si>
    <t>Promoción de personal por criterios subjetivos: afinidad con superior o conveniencia personal</t>
  </si>
  <si>
    <t>Ejecución de compras y servicios, sin órden de compra</t>
  </si>
  <si>
    <t>Que se realice inadvertidamente pagos a un proveedor vinculado con actividades de Soborno</t>
  </si>
  <si>
    <t>Que un proveedor envie facturas o realice contratos con terceros que realizan actividades de Soborno</t>
  </si>
  <si>
    <t>Que una contraparte reciba sobornos de otras empresas/personas</t>
  </si>
  <si>
    <t>AuditoriaInterna</t>
  </si>
  <si>
    <t>AI</t>
  </si>
  <si>
    <t>Cumplimiento</t>
  </si>
  <si>
    <t>DesarrollodeNegocios</t>
  </si>
  <si>
    <t>Nómina</t>
  </si>
  <si>
    <t>NM</t>
  </si>
  <si>
    <t>Calidad</t>
  </si>
  <si>
    <t>CA</t>
  </si>
  <si>
    <t>Operaciones</t>
  </si>
  <si>
    <t>OP</t>
  </si>
  <si>
    <t>Falta de entendimiento de las operaciones realizadas por la contraparte</t>
  </si>
  <si>
    <t>Desconocer que las características propias del servicio prestado a un cliente o proveedor favorezcan actividades de Soborno</t>
  </si>
  <si>
    <t>Falla en los Controles de Seguridad Física</t>
  </si>
  <si>
    <t>Desconocimiento de la Ley</t>
  </si>
  <si>
    <t>Falta de Monitoreo</t>
  </si>
  <si>
    <t>Desconocimiento de información por parte de las contrapartes y su debida actualización</t>
  </si>
  <si>
    <t>Falta de Vigilancia</t>
  </si>
  <si>
    <t>Falta de capacitación periódica al personal relacionada con la prevención del Soborno</t>
  </si>
  <si>
    <t>Información Desactualizada</t>
  </si>
  <si>
    <t>Omisión de Procedimientos</t>
  </si>
  <si>
    <t>La Contraparte no hace DD o desconoce la norma</t>
  </si>
  <si>
    <t>Falta de verificación por las Áreas respectivas</t>
  </si>
  <si>
    <t>Desconocer que las características propias del servicio prestado a una contraparte favorezcan actividades de Soborno</t>
  </si>
  <si>
    <t>Revisión previa a la vinculación, en bases de datos</t>
  </si>
  <si>
    <t>Programar en conjunto con formación capacitaciones para el personal dependiendo su cargo.</t>
  </si>
  <si>
    <t>Dar seguimiento a las actividades de la contraparte</t>
  </si>
  <si>
    <t>Reforzar los mecanismos de seguridad de la información</t>
  </si>
  <si>
    <t>Monitorear la actividad en la red de los empleados bajo modalidad remota</t>
  </si>
  <si>
    <t>Seguimiento a proveedores</t>
  </si>
  <si>
    <t>Fortalecer la identificación de riesgos</t>
  </si>
  <si>
    <t>Reforzar los mecanismos de segudidad física</t>
  </si>
  <si>
    <t>DiseñoyTransicióndeNegocios</t>
  </si>
  <si>
    <t>SistemasDeGestionDeLaCalidad</t>
  </si>
  <si>
    <t>Soborno</t>
  </si>
  <si>
    <t>Totalmente Implementado</t>
  </si>
  <si>
    <t>Manual</t>
  </si>
  <si>
    <t>Preventivo</t>
  </si>
  <si>
    <t>1-CU</t>
  </si>
  <si>
    <t>Nombre del Control
(Atacar causas)</t>
  </si>
  <si>
    <t/>
  </si>
  <si>
    <t>Implementado Parcialmente</t>
  </si>
  <si>
    <t>2-CU</t>
  </si>
  <si>
    <t>3-CU</t>
  </si>
  <si>
    <t>4-DN</t>
  </si>
  <si>
    <t>5-RS</t>
  </si>
  <si>
    <t>Revisión Documentación Clientes</t>
  </si>
  <si>
    <t>6-DN</t>
  </si>
  <si>
    <t>Entendimiento del Negocio</t>
  </si>
  <si>
    <t>7-CU</t>
  </si>
  <si>
    <t>Revisión de Proveedores</t>
  </si>
  <si>
    <t>8-CC</t>
  </si>
  <si>
    <t>Constante capacitación y actualización con las normas</t>
  </si>
  <si>
    <t>Revisión posterior a la vinculación por lo menos una vez cada dos años en bases de datos locales/intern</t>
  </si>
  <si>
    <t>Revisión previa a la vinculación, en bases de datos locales/intern.
El formulario de registro de proveedores debe contar con la documentación de soporte , y la validación en Listas de Riesgos realizada por el área de Cumplimiento.
Recursos Humanos
Procedimiento de reclutamiento y selección (RH-P-03)
Politica de Verificación de Exclusiones (AT-PL-42)
 Formatos DDC Empleado (AT-F-53)
Proveedores y Contratistas
Procedimiento de Compras y Contratación (FA-P-03)
Formato de Registro de Proveedores (FA-F-14)
Formatos DDC Proveedor (AT-F-54)
Clientes
Formato de Registro de Clientes (FA-F-35)
Procedimiento de Elaboración y Modificación de Contratos (CU-P-02)
Formatos DDC Cliente (AT-F-55)</t>
  </si>
  <si>
    <t>Matriz de Riesgos PTEE</t>
  </si>
  <si>
    <r>
      <t xml:space="preserve">Nombre del Control
</t>
    </r>
    <r>
      <rPr>
        <b/>
        <sz val="10"/>
        <color theme="1"/>
        <rFont val="Bookman Old Style"/>
        <family val="1"/>
      </rPr>
      <t>(Atacar causas)</t>
    </r>
  </si>
  <si>
    <r>
      <t xml:space="preserve">Descripción del Control
</t>
    </r>
    <r>
      <rPr>
        <b/>
        <sz val="10"/>
        <color theme="1"/>
        <rFont val="Bookman Old Style"/>
        <family val="1"/>
      </rPr>
      <t>(Casilla para completar)</t>
    </r>
  </si>
  <si>
    <r>
      <t xml:space="preserve">Implementación
</t>
    </r>
    <r>
      <rPr>
        <b/>
        <sz val="10"/>
        <color theme="1"/>
        <rFont val="Bookman Old Style"/>
        <family val="1"/>
      </rPr>
      <t>(Seleccionar)</t>
    </r>
  </si>
  <si>
    <r>
      <t xml:space="preserve">Fecha de Implementación
</t>
    </r>
    <r>
      <rPr>
        <b/>
        <sz val="10"/>
        <color theme="1"/>
        <rFont val="Bookman Old Style"/>
        <family val="1"/>
      </rPr>
      <t>(dd/mm/aa)</t>
    </r>
  </si>
  <si>
    <r>
      <t xml:space="preserve">Tipo de Control
</t>
    </r>
    <r>
      <rPr>
        <b/>
        <sz val="10"/>
        <color theme="1"/>
        <rFont val="Bookman Old Style"/>
        <family val="1"/>
      </rPr>
      <t>(Seleccionar)</t>
    </r>
  </si>
  <si>
    <r>
      <t xml:space="preserve">Control Clave
</t>
    </r>
    <r>
      <rPr>
        <b/>
        <sz val="10"/>
        <color theme="1"/>
        <rFont val="Bookman Old Style"/>
        <family val="1"/>
      </rPr>
      <t>(Seleccionar)</t>
    </r>
  </si>
  <si>
    <t xml:space="preserve">                                                                                    FASE I. IDENTIFICACIÓN Y VALORACIÓN DEL RIESGO INHERENTE</t>
  </si>
  <si>
    <t xml:space="preserve">         Matriz de Controles LAFT</t>
  </si>
  <si>
    <t>111111</t>
  </si>
  <si>
    <t>Que los miembros de Junta Directiva reciba dinero o regalos para obtener beneficios para la organización</t>
  </si>
  <si>
    <t>Que la CCSM ofrezca regalos en cualquier especie a un potencial cliente para que realice algún negocio con la CCSM</t>
  </si>
  <si>
    <t>Que algún miembro de Junta Directiva reciba dinero o regalos para obtener beneficios con la CCSM</t>
  </si>
  <si>
    <t>Que la CCSM ofrezca regalos en cualquier especie a un potencial cliente para que realice negocios con la CCSM</t>
  </si>
  <si>
    <t>Que algún  miembro de la JD reciba dinero o regalos para obtener beneficios con la empresa</t>
  </si>
  <si>
    <t>Que la CCSM o sus empleados reciban precios de factura superiores a los normales porque el empleado que acepta el precio de la factura es sobornado por el facturador.</t>
  </si>
  <si>
    <t>Que la junta y la alta dirección no prevengan adecuadamente la corrupción y / o el soborno dentro de la CCSM.</t>
  </si>
  <si>
    <t>Que un representante de la CCSM o sus empleados soborne intencional o inadvertidamente a un funcionario del gobierno nacional o extranjero para beneficio personal o de la organización.</t>
  </si>
  <si>
    <t>Que un tercero con el que la CCSM o sus empleados se involucren actúe de manera corrupta.</t>
  </si>
  <si>
    <t xml:space="preserve">Revisión posterior a la vinculación por lo menos una vez cada dos años en bases de datos locales/intern.
Formato de vinculación de Empleado </t>
  </si>
  <si>
    <t xml:space="preserve">Formato registro de Cliente </t>
  </si>
  <si>
    <t>Revisión posterior a la vinculación por lo menos una vez cada dos años en bases de datos locales/intern
Politica de Verificación de Exclusiones 
Procedimiento de Gestión Contractual y Convencional
Formatos de registro de Proveedor</t>
  </si>
  <si>
    <t xml:space="preserve">Revisión posterior a la vinculación por lo menos una vez cada dos años en bases de datos locales/intern
Politica de Verificación de Exclusiones 
 Formatos de vinculación de Empleado </t>
  </si>
  <si>
    <t>Que la CCSM ofrezca a un potencial cliente regalos en cualquier especie para que éste realice negocios con la CCSM</t>
  </si>
  <si>
    <t>Que algún miembro de la JD reciba dinero o regalos para obtener beneficios con la CCSM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</si>
</sst>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_ * #,##0.00_ ;_ * \-#,##0.00_ ;_ * &quot;-&quot;??_ ;_ @_ "/>
    <numFmt numFmtId="166" formatCode="_ * #,##0.0_ ;_ * \-#,##0.0_ ;_ * &quot;-&quot;??_ ;_ @_ "/>
    <numFmt numFmtId="167" formatCode="_-* #,##0\ _€_-;\-* #,##0\ _€_-;_-* &quot;-&quot;??\ _€_-;_-@_-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6"/>
      <color theme="0"/>
      <name val="Bookman Old Style"/>
      <family val="1"/>
    </font>
    <font>
      <sz val="12"/>
      <color theme="0"/>
      <name val="Bookman Old Style"/>
      <family val="1"/>
    </font>
    <font>
      <b/>
      <sz val="16"/>
      <color theme="1"/>
      <name val="Bookman Old Style"/>
      <family val="1"/>
    </font>
    <font>
      <sz val="12"/>
      <color theme="1"/>
      <name val="Bookman Old Style"/>
      <family val="1"/>
    </font>
    <font>
      <b/>
      <sz val="22"/>
      <color theme="1"/>
      <name val="Bookman Old Style"/>
      <family val="1"/>
    </font>
    <font>
      <b/>
      <sz val="12"/>
      <color theme="0"/>
      <name val="Bookman Old Style"/>
      <family val="1"/>
    </font>
    <font>
      <b/>
      <sz val="12"/>
      <color theme="1"/>
      <name val="Bookman Old Style"/>
      <family val="1"/>
    </font>
    <font>
      <b/>
      <sz val="12"/>
      <name val="Bookman Old Style"/>
      <family val="1"/>
    </font>
    <font>
      <sz val="14"/>
      <color theme="1"/>
      <name val="Bookman Old Style"/>
      <family val="1"/>
    </font>
    <font>
      <sz val="12"/>
      <name val="Bookman Old Style"/>
      <family val="1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4"/>
      <color theme="0"/>
      <name val="Bookman Old Style"/>
      <family val="1"/>
    </font>
    <font>
      <b/>
      <sz val="40"/>
      <color theme="0"/>
      <name val="Bookman Old Style"/>
      <family val="1"/>
    </font>
    <font>
      <sz val="11"/>
      <color theme="0"/>
      <name val="Bookman Old Style"/>
      <family val="1"/>
    </font>
    <font>
      <b/>
      <sz val="28"/>
      <color theme="1"/>
      <name val="Bookman Old Style"/>
      <family val="1"/>
    </font>
    <font>
      <b/>
      <sz val="10"/>
      <color theme="0"/>
      <name val="Bookman Old Style"/>
      <family val="1"/>
    </font>
    <font>
      <sz val="10"/>
      <color theme="1"/>
      <name val="Bookman Old Style"/>
      <family val="1"/>
    </font>
    <font>
      <b/>
      <sz val="10"/>
      <name val="Bookman Old Style"/>
      <family val="1"/>
    </font>
    <font>
      <sz val="10"/>
      <color theme="0"/>
      <name val="Bookman Old Style"/>
      <family val="1"/>
    </font>
    <font>
      <b/>
      <sz val="10"/>
      <color rgb="FF30317A"/>
      <name val="Bookman Old Style"/>
      <family val="1"/>
    </font>
    <font>
      <b/>
      <sz val="14"/>
      <color theme="0"/>
      <name val="Bookman Old Style"/>
      <family val="1"/>
    </font>
    <font>
      <sz val="10"/>
      <color rgb="FF201F1E"/>
      <name val="Bookman Old Style"/>
      <family val="1"/>
    </font>
    <font>
      <sz val="10"/>
      <name val="Bookman Old Style"/>
      <family val="1"/>
    </font>
    <font>
      <sz val="10"/>
      <color rgb="FFFF0000"/>
      <name val="Bookman Old Style"/>
      <family val="1"/>
    </font>
    <font>
      <b/>
      <sz val="11"/>
      <name val="Bookman Old Style"/>
      <family val="1"/>
    </font>
    <font>
      <b/>
      <sz val="14"/>
      <name val="Bookman Old Style"/>
      <family val="1"/>
    </font>
    <font>
      <sz val="8"/>
      <name val="Bookman Old Style"/>
      <family val="1"/>
    </font>
    <font>
      <sz val="8"/>
      <color theme="1"/>
      <name val="Bookman Old Style"/>
      <family val="1"/>
    </font>
    <font>
      <sz val="7"/>
      <name val="Bookman Old Style"/>
      <family val="1"/>
    </font>
    <font>
      <sz val="7"/>
      <color indexed="9"/>
      <name val="Bookman Old Style"/>
      <family val="1"/>
    </font>
    <font>
      <sz val="8"/>
      <color theme="0"/>
      <name val="Bookman Old Style"/>
      <family val="1"/>
    </font>
    <font>
      <b/>
      <sz val="8"/>
      <color theme="0"/>
      <name val="Bookman Old Style"/>
      <family val="1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0317A"/>
        <bgColor indexed="64"/>
      </patternFill>
    </fill>
    <fill>
      <patternFill patternType="solid">
        <fgColor theme="0" tint="-0.3499862666707357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2" tint="-0.499984740745262"/>
      </left>
      <right/>
      <top style="double">
        <color theme="2" tint="-0.499984740745262"/>
      </top>
      <bottom style="medium">
        <color indexed="64"/>
      </bottom>
      <diagonal/>
    </border>
    <border>
      <left/>
      <right/>
      <top style="double">
        <color theme="2" tint="-0.499984740745262"/>
      </top>
      <bottom style="medium">
        <color indexed="64"/>
      </bottom>
      <diagonal/>
    </border>
    <border>
      <left/>
      <right style="double">
        <color theme="2" tint="-0.499984740745262"/>
      </right>
      <top style="double">
        <color theme="2" tint="-0.499984740745262"/>
      </top>
      <bottom style="medium">
        <color indexed="64"/>
      </bottom>
      <diagonal/>
    </border>
    <border>
      <left style="double">
        <color theme="2" tint="-0.499984740745262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theme="2" tint="-0.499984740745262"/>
      </right>
      <top style="medium">
        <color indexed="64"/>
      </top>
      <bottom style="thin">
        <color indexed="64"/>
      </bottom>
      <diagonal/>
    </border>
    <border>
      <left style="double">
        <color theme="2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theme="2" tint="-0.499984740745262"/>
      </right>
      <top style="thin">
        <color indexed="64"/>
      </top>
      <bottom style="thin">
        <color indexed="64"/>
      </bottom>
      <diagonal/>
    </border>
    <border>
      <left style="double">
        <color theme="2" tint="-0.499984740745262"/>
      </left>
      <right style="thin">
        <color indexed="64"/>
      </right>
      <top style="thin">
        <color indexed="64"/>
      </top>
      <bottom style="double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2" tint="-0.499984740745262"/>
      </bottom>
      <diagonal/>
    </border>
    <border>
      <left style="thin">
        <color indexed="64"/>
      </left>
      <right style="double">
        <color theme="2" tint="-0.499984740745262"/>
      </right>
      <top style="thin">
        <color indexed="64"/>
      </top>
      <bottom style="double">
        <color theme="2" tint="-0.499984740745262"/>
      </bottom>
      <diagonal/>
    </border>
    <border>
      <left style="double">
        <color theme="2" tint="-0.499984740745262"/>
      </left>
      <right/>
      <top style="double">
        <color theme="2" tint="-0.499984740745262"/>
      </top>
      <bottom style="thin">
        <color indexed="64"/>
      </bottom>
      <diagonal/>
    </border>
    <border>
      <left/>
      <right/>
      <top style="double">
        <color theme="2" tint="-0.499984740745262"/>
      </top>
      <bottom style="thin">
        <color indexed="64"/>
      </bottom>
      <diagonal/>
    </border>
    <border>
      <left/>
      <right style="double">
        <color theme="2" tint="-0.499984740745262"/>
      </right>
      <top style="double">
        <color theme="2" tint="-0.499984740745262"/>
      </top>
      <bottom style="thin">
        <color indexed="64"/>
      </bottom>
      <diagonal/>
    </border>
    <border>
      <left style="double">
        <color theme="2" tint="-0.499984740745262"/>
      </left>
      <right style="thin">
        <color indexed="64"/>
      </right>
      <top style="double">
        <color theme="2" tint="-0.499984740745262"/>
      </top>
      <bottom/>
      <diagonal/>
    </border>
    <border>
      <left style="thin">
        <color indexed="64"/>
      </left>
      <right style="thin">
        <color indexed="64"/>
      </right>
      <top style="double">
        <color theme="2" tint="-0.499984740745262"/>
      </top>
      <bottom/>
      <diagonal/>
    </border>
    <border>
      <left style="thin">
        <color indexed="64"/>
      </left>
      <right/>
      <top style="double">
        <color theme="2" tint="-0.499984740745262"/>
      </top>
      <bottom style="thin">
        <color indexed="64"/>
      </bottom>
      <diagonal/>
    </border>
    <border>
      <left/>
      <right style="thin">
        <color indexed="64"/>
      </right>
      <top style="double">
        <color theme="2" tint="-0.499984740745262"/>
      </top>
      <bottom style="thin">
        <color indexed="64"/>
      </bottom>
      <diagonal/>
    </border>
    <border>
      <left style="double">
        <color theme="2" tint="-0.499984740745262"/>
      </left>
      <right style="thin">
        <color indexed="64"/>
      </right>
      <top/>
      <bottom style="thin">
        <color indexed="64"/>
      </bottom>
      <diagonal/>
    </border>
    <border>
      <left style="double">
        <color theme="2" tint="-0.499984740745262"/>
      </left>
      <right style="thin">
        <color indexed="64"/>
      </right>
      <top style="thin">
        <color indexed="64"/>
      </top>
      <bottom/>
      <diagonal/>
    </border>
    <border>
      <left style="double">
        <color theme="2" tint="-0.499984740745262"/>
      </left>
      <right style="thin">
        <color indexed="64"/>
      </right>
      <top/>
      <bottom/>
      <diagonal/>
    </border>
    <border>
      <left style="double">
        <color theme="2" tint="-0.499984740745262"/>
      </left>
      <right style="thin">
        <color indexed="64"/>
      </right>
      <top/>
      <bottom style="double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double">
        <color theme="2" tint="-0.499984740745262"/>
      </bottom>
      <diagonal/>
    </border>
    <border>
      <left/>
      <right style="thin">
        <color indexed="64"/>
      </right>
      <top style="thin">
        <color indexed="64"/>
      </top>
      <bottom style="double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double">
        <color theme="2" tint="-0.499984740745262"/>
      </bottom>
      <diagonal/>
    </border>
    <border>
      <left/>
      <right/>
      <top style="thin">
        <color indexed="64"/>
      </top>
      <bottom style="double">
        <color theme="2" tint="-0.499984740745262"/>
      </bottom>
      <diagonal/>
    </border>
    <border>
      <left style="double">
        <color theme="2" tint="-0.499984740745262"/>
      </left>
      <right/>
      <top style="double">
        <color theme="2" tint="-0.499984740745262"/>
      </top>
      <bottom/>
      <diagonal/>
    </border>
    <border>
      <left/>
      <right/>
      <top style="double">
        <color theme="2" tint="-0.499984740745262"/>
      </top>
      <bottom/>
      <diagonal/>
    </border>
    <border>
      <left/>
      <right style="thin">
        <color indexed="64"/>
      </right>
      <top style="double">
        <color theme="2" tint="-0.499984740745262"/>
      </top>
      <bottom/>
      <diagonal/>
    </border>
    <border>
      <left style="thin">
        <color indexed="64"/>
      </left>
      <right/>
      <top style="double">
        <color theme="2" tint="-0.499984740745262"/>
      </top>
      <bottom/>
      <diagonal/>
    </border>
    <border>
      <left/>
      <right style="double">
        <color theme="2" tint="-0.499984740745262"/>
      </right>
      <top style="double">
        <color theme="2" tint="-0.499984740745262"/>
      </top>
      <bottom/>
      <diagonal/>
    </border>
    <border>
      <left style="double">
        <color theme="2" tint="-0.499984740745262"/>
      </left>
      <right/>
      <top/>
      <bottom style="thin">
        <color indexed="64"/>
      </bottom>
      <diagonal/>
    </border>
    <border>
      <left/>
      <right style="double">
        <color theme="2" tint="-0.499984740745262"/>
      </right>
      <top/>
      <bottom style="thin">
        <color indexed="64"/>
      </bottom>
      <diagonal/>
    </border>
    <border>
      <left style="double">
        <color theme="2" tint="-0.499984740745262"/>
      </left>
      <right/>
      <top style="thin">
        <color indexed="64"/>
      </top>
      <bottom/>
      <diagonal/>
    </border>
    <border>
      <left/>
      <right style="double">
        <color theme="2" tint="-0.499984740745262"/>
      </right>
      <top style="thin">
        <color indexed="64"/>
      </top>
      <bottom style="thin">
        <color indexed="64"/>
      </bottom>
      <diagonal/>
    </border>
    <border>
      <left style="double">
        <color theme="2" tint="-0.499984740745262"/>
      </left>
      <right/>
      <top style="thin">
        <color indexed="64"/>
      </top>
      <bottom style="thin">
        <color indexed="64"/>
      </bottom>
      <diagonal/>
    </border>
    <border>
      <left style="double">
        <color theme="2" tint="-0.499984740745262"/>
      </left>
      <right/>
      <top/>
      <bottom/>
      <diagonal/>
    </border>
    <border>
      <left style="double">
        <color theme="2" tint="-0.499984740745262"/>
      </left>
      <right/>
      <top/>
      <bottom style="double">
        <color theme="2" tint="-0.499984740745262"/>
      </bottom>
      <diagonal/>
    </border>
    <border>
      <left/>
      <right/>
      <top/>
      <bottom style="double">
        <color theme="2" tint="-0.499984740745262"/>
      </bottom>
      <diagonal/>
    </border>
    <border>
      <left/>
      <right style="thin">
        <color indexed="64"/>
      </right>
      <top/>
      <bottom style="double">
        <color theme="2" tint="-0.499984740745262"/>
      </bottom>
      <diagonal/>
    </border>
    <border>
      <left style="thin">
        <color indexed="64"/>
      </left>
      <right/>
      <top/>
      <bottom style="double">
        <color theme="2" tint="-0.499984740745262"/>
      </bottom>
      <diagonal/>
    </border>
    <border>
      <left/>
      <right style="double">
        <color theme="2" tint="-0.499984740745262"/>
      </right>
      <top style="thin">
        <color indexed="64"/>
      </top>
      <bottom style="double">
        <color theme="2" tint="-0.49998474074526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theme="2" tint="-0.499984740745262"/>
      </right>
      <top style="thin">
        <color indexed="64"/>
      </top>
      <bottom/>
      <diagonal/>
    </border>
    <border>
      <left style="thin">
        <color indexed="64"/>
      </left>
      <right style="double">
        <color theme="2" tint="-0.499984740745262"/>
      </right>
      <top/>
      <bottom style="double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</cellStyleXfs>
  <cellXfs count="42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4" borderId="0" xfId="0" applyFont="1" applyFill="1"/>
    <xf numFmtId="0" fontId="0" fillId="4" borderId="0" xfId="0" applyFill="1"/>
    <xf numFmtId="0" fontId="4" fillId="4" borderId="0" xfId="0" applyFont="1" applyFill="1" applyAlignment="1">
      <alignment vertical="center"/>
    </xf>
    <xf numFmtId="0" fontId="1" fillId="0" borderId="0" xfId="1"/>
    <xf numFmtId="0" fontId="1" fillId="0" borderId="0" xfId="1" applyAlignment="1">
      <alignment horizontal="center"/>
    </xf>
    <xf numFmtId="0" fontId="9" fillId="0" borderId="0" xfId="1" applyFont="1" applyProtection="1">
      <protection hidden="1"/>
    </xf>
    <xf numFmtId="0" fontId="5" fillId="0" borderId="0" xfId="1" applyFont="1" applyProtection="1">
      <protection hidden="1"/>
    </xf>
    <xf numFmtId="0" fontId="7" fillId="0" borderId="0" xfId="1" applyFont="1" applyAlignment="1">
      <alignment horizontal="center" vertical="center"/>
    </xf>
    <xf numFmtId="49" fontId="8" fillId="22" borderId="3" xfId="5" applyNumberFormat="1" applyFont="1" applyFill="1" applyBorder="1" applyAlignment="1" applyProtection="1">
      <alignment horizontal="center" vertical="center" wrapText="1"/>
      <protection hidden="1"/>
    </xf>
    <xf numFmtId="49" fontId="8" fillId="10" borderId="3" xfId="5" applyNumberFormat="1" applyFont="1" applyFill="1" applyBorder="1" applyAlignment="1" applyProtection="1">
      <alignment horizontal="center" vertical="center" wrapText="1"/>
      <protection hidden="1"/>
    </xf>
    <xf numFmtId="49" fontId="8" fillId="24" borderId="3" xfId="5" applyNumberFormat="1" applyFont="1" applyFill="1" applyBorder="1" applyAlignment="1" applyProtection="1">
      <alignment horizontal="center" vertical="center" wrapText="1"/>
      <protection hidden="1"/>
    </xf>
    <xf numFmtId="0" fontId="10" fillId="7" borderId="0" xfId="0" applyFont="1" applyFill="1"/>
    <xf numFmtId="0" fontId="11" fillId="7" borderId="0" xfId="0" applyFont="1" applyFill="1"/>
    <xf numFmtId="0" fontId="12" fillId="14" borderId="0" xfId="0" applyFont="1" applyFill="1"/>
    <xf numFmtId="0" fontId="13" fillId="4" borderId="0" xfId="0" applyFont="1" applyFill="1"/>
    <xf numFmtId="0" fontId="12" fillId="12" borderId="0" xfId="0" applyFont="1" applyFill="1" applyAlignment="1">
      <alignment vertical="center"/>
    </xf>
    <xf numFmtId="0" fontId="15" fillId="4" borderId="0" xfId="0" applyFont="1" applyFill="1" applyAlignment="1">
      <alignment horizontal="center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horizontal="center" vertical="center" wrapText="1"/>
    </xf>
    <xf numFmtId="0" fontId="16" fillId="4" borderId="18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12" borderId="19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/>
    </xf>
    <xf numFmtId="0" fontId="13" fillId="4" borderId="0" xfId="0" applyFont="1" applyFill="1" applyAlignment="1">
      <alignment horizontal="center"/>
    </xf>
    <xf numFmtId="0" fontId="13" fillId="4" borderId="72" xfId="0" applyFont="1" applyFill="1" applyBorder="1" applyAlignment="1" applyProtection="1">
      <alignment horizontal="center" vertical="center"/>
      <protection locked="0"/>
    </xf>
    <xf numFmtId="0" fontId="13" fillId="4" borderId="3" xfId="0" applyFont="1" applyFill="1" applyBorder="1" applyAlignment="1" applyProtection="1">
      <alignment horizontal="center" vertical="center"/>
      <protection locked="0"/>
    </xf>
    <xf numFmtId="0" fontId="13" fillId="12" borderId="19" xfId="0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wrapText="1"/>
    </xf>
    <xf numFmtId="0" fontId="13" fillId="4" borderId="0" xfId="0" quotePrefix="1" applyFont="1" applyFill="1"/>
    <xf numFmtId="0" fontId="16" fillId="0" borderId="8" xfId="0" applyFont="1" applyBorder="1" applyAlignment="1">
      <alignment horizontal="center"/>
    </xf>
    <xf numFmtId="0" fontId="16" fillId="0" borderId="16" xfId="0" applyFont="1" applyBorder="1" applyAlignment="1">
      <alignment horizontal="center" vertical="center"/>
    </xf>
    <xf numFmtId="0" fontId="17" fillId="12" borderId="19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 wrapText="1"/>
    </xf>
    <xf numFmtId="0" fontId="13" fillId="4" borderId="18" xfId="0" applyFont="1" applyFill="1" applyBorder="1" applyAlignment="1" applyProtection="1">
      <alignment horizontal="center" vertical="center"/>
      <protection hidden="1"/>
    </xf>
    <xf numFmtId="0" fontId="13" fillId="4" borderId="3" xfId="0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/>
    </xf>
    <xf numFmtId="0" fontId="18" fillId="4" borderId="0" xfId="0" applyFont="1" applyFill="1" applyAlignment="1">
      <alignment horizontal="left" vertical="center" wrapText="1"/>
    </xf>
    <xf numFmtId="0" fontId="18" fillId="4" borderId="0" xfId="0" applyFont="1" applyFill="1" applyAlignment="1">
      <alignment horizontal="center" vertical="center"/>
    </xf>
    <xf numFmtId="0" fontId="19" fillId="4" borderId="0" xfId="0" applyFont="1" applyFill="1"/>
    <xf numFmtId="0" fontId="13" fillId="4" borderId="0" xfId="0" applyFont="1" applyFill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" xfId="0" quotePrefix="1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4" borderId="3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/>
    </xf>
    <xf numFmtId="0" fontId="16" fillId="6" borderId="3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8" borderId="3" xfId="0" applyFont="1" applyFill="1" applyBorder="1" applyAlignment="1">
      <alignment horizontal="center" vertical="center" wrapText="1"/>
    </xf>
    <xf numFmtId="0" fontId="21" fillId="4" borderId="0" xfId="0" applyFont="1" applyFill="1"/>
    <xf numFmtId="0" fontId="13" fillId="0" borderId="3" xfId="0" applyFont="1" applyBorder="1" applyAlignment="1" applyProtection="1">
      <alignment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14" fontId="13" fillId="8" borderId="3" xfId="0" applyNumberFormat="1" applyFont="1" applyFill="1" applyBorder="1" applyAlignment="1" applyProtection="1">
      <alignment horizontal="center" vertical="center" wrapText="1"/>
      <protection locked="0"/>
    </xf>
    <xf numFmtId="164" fontId="13" fillId="0" borderId="3" xfId="2" applyFont="1" applyFill="1" applyBorder="1" applyAlignment="1" applyProtection="1">
      <alignment horizontal="center" vertical="center" wrapText="1"/>
      <protection hidden="1"/>
    </xf>
    <xf numFmtId="10" fontId="13" fillId="0" borderId="3" xfId="3" applyNumberFormat="1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Border="1" applyAlignment="1" applyProtection="1">
      <alignment horizontal="center" vertical="center" wrapText="1"/>
      <protection hidden="1"/>
    </xf>
    <xf numFmtId="164" fontId="15" fillId="5" borderId="3" xfId="2" applyFont="1" applyFill="1" applyBorder="1" applyAlignment="1" applyProtection="1">
      <alignment vertical="center" wrapText="1"/>
      <protection hidden="1"/>
    </xf>
    <xf numFmtId="164" fontId="17" fillId="3" borderId="3" xfId="2" applyFont="1" applyFill="1" applyBorder="1" applyAlignment="1" applyProtection="1">
      <alignment vertical="center" wrapText="1"/>
      <protection hidden="1"/>
    </xf>
    <xf numFmtId="164" fontId="17" fillId="8" borderId="3" xfId="2" applyFont="1" applyFill="1" applyBorder="1" applyAlignment="1" applyProtection="1">
      <alignment vertical="center" wrapText="1"/>
      <protection hidden="1"/>
    </xf>
    <xf numFmtId="14" fontId="13" fillId="8" borderId="3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left" vertical="center" wrapText="1"/>
      <protection locked="0"/>
    </xf>
    <xf numFmtId="0" fontId="10" fillId="26" borderId="0" xfId="0" applyFont="1" applyFill="1"/>
    <xf numFmtId="0" fontId="15" fillId="26" borderId="10" xfId="0" applyFont="1" applyFill="1" applyBorder="1" applyAlignment="1">
      <alignment horizontal="center" vertical="center"/>
    </xf>
    <xf numFmtId="0" fontId="11" fillId="26" borderId="0" xfId="0" applyFont="1" applyFill="1" applyAlignment="1">
      <alignment wrapText="1"/>
    </xf>
    <xf numFmtId="0" fontId="21" fillId="0" borderId="0" xfId="0" applyFont="1"/>
    <xf numFmtId="0" fontId="16" fillId="4" borderId="34" xfId="0" applyFont="1" applyFill="1" applyBorder="1" applyAlignment="1">
      <alignment horizontal="center" vertical="center"/>
    </xf>
    <xf numFmtId="0" fontId="16" fillId="12" borderId="35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12" borderId="35" xfId="0" applyFont="1" applyFill="1" applyBorder="1" applyAlignment="1">
      <alignment horizontal="center" vertical="center"/>
    </xf>
    <xf numFmtId="0" fontId="17" fillId="12" borderId="35" xfId="0" applyFont="1" applyFill="1" applyBorder="1" applyAlignment="1">
      <alignment horizontal="center" vertical="center"/>
    </xf>
    <xf numFmtId="0" fontId="16" fillId="0" borderId="51" xfId="0" applyFont="1" applyBorder="1" applyAlignment="1">
      <alignment horizontal="center" vertical="center"/>
    </xf>
    <xf numFmtId="0" fontId="21" fillId="26" borderId="0" xfId="0" applyFont="1" applyFill="1"/>
    <xf numFmtId="0" fontId="24" fillId="26" borderId="0" xfId="0" applyFont="1" applyFill="1"/>
    <xf numFmtId="0" fontId="24" fillId="0" borderId="0" xfId="0" applyFont="1"/>
    <xf numFmtId="0" fontId="25" fillId="4" borderId="0" xfId="0" applyFont="1" applyFill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27" fillId="4" borderId="0" xfId="0" applyFont="1" applyFill="1"/>
    <xf numFmtId="0" fontId="27" fillId="0" borderId="0" xfId="0" applyFont="1"/>
    <xf numFmtId="0" fontId="20" fillId="0" borderId="3" xfId="0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 wrapText="1"/>
    </xf>
    <xf numFmtId="0" fontId="20" fillId="6" borderId="35" xfId="0" applyFont="1" applyFill="1" applyBorder="1" applyAlignment="1">
      <alignment horizontal="center" vertical="center" wrapText="1"/>
    </xf>
    <xf numFmtId="0" fontId="20" fillId="3" borderId="32" xfId="0" applyFont="1" applyFill="1" applyBorder="1" applyAlignment="1">
      <alignment horizontal="center" vertical="center" wrapText="1"/>
    </xf>
    <xf numFmtId="0" fontId="26" fillId="5" borderId="23" xfId="0" applyFont="1" applyFill="1" applyBorder="1" applyAlignment="1">
      <alignment horizontal="center" vertical="center" wrapText="1"/>
    </xf>
    <xf numFmtId="0" fontId="26" fillId="7" borderId="33" xfId="0" applyFont="1" applyFill="1" applyBorder="1" applyAlignment="1">
      <alignment horizontal="center" vertical="center" wrapText="1"/>
    </xf>
    <xf numFmtId="0" fontId="26" fillId="5" borderId="34" xfId="0" applyFont="1" applyFill="1" applyBorder="1" applyAlignment="1">
      <alignment horizontal="center" vertical="center" wrapText="1"/>
    </xf>
    <xf numFmtId="0" fontId="28" fillId="3" borderId="3" xfId="0" applyFont="1" applyFill="1" applyBorder="1" applyAlignment="1">
      <alignment horizontal="center" vertical="center" wrapText="1"/>
    </xf>
    <xf numFmtId="0" fontId="28" fillId="8" borderId="35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7" fillId="0" borderId="3" xfId="0" applyFont="1" applyBorder="1" applyAlignment="1">
      <alignment vertical="center" wrapText="1"/>
    </xf>
    <xf numFmtId="0" fontId="27" fillId="0" borderId="3" xfId="0" applyFont="1" applyBorder="1" applyAlignment="1">
      <alignment horizontal="center" vertical="center" wrapText="1"/>
    </xf>
    <xf numFmtId="14" fontId="27" fillId="8" borderId="3" xfId="0" applyNumberFormat="1" applyFont="1" applyFill="1" applyBorder="1" applyAlignment="1">
      <alignment horizontal="center" vertical="center"/>
    </xf>
    <xf numFmtId="0" fontId="27" fillId="4" borderId="3" xfId="0" applyFont="1" applyFill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164" fontId="27" fillId="0" borderId="34" xfId="2" applyFont="1" applyFill="1" applyBorder="1" applyAlignment="1">
      <alignment horizontal="center" vertical="center" wrapText="1"/>
    </xf>
    <xf numFmtId="10" fontId="27" fillId="0" borderId="3" xfId="3" applyNumberFormat="1" applyFont="1" applyFill="1" applyBorder="1" applyAlignment="1">
      <alignment horizontal="center" vertical="center" wrapText="1"/>
    </xf>
    <xf numFmtId="164" fontId="27" fillId="0" borderId="35" xfId="0" applyNumberFormat="1" applyFont="1" applyBorder="1" applyAlignment="1">
      <alignment horizontal="center" vertical="center" wrapText="1"/>
    </xf>
    <xf numFmtId="164" fontId="26" fillId="5" borderId="36" xfId="2" applyFont="1" applyFill="1" applyBorder="1" applyAlignment="1">
      <alignment vertical="center" wrapText="1"/>
    </xf>
    <xf numFmtId="164" fontId="28" fillId="3" borderId="37" xfId="2" applyFont="1" applyFill="1" applyBorder="1" applyAlignment="1">
      <alignment vertical="center" wrapText="1"/>
    </xf>
    <xf numFmtId="164" fontId="28" fillId="8" borderId="38" xfId="2" applyFont="1" applyFill="1" applyBorder="1" applyAlignment="1">
      <alignment vertical="center" wrapText="1"/>
    </xf>
    <xf numFmtId="0" fontId="20" fillId="0" borderId="51" xfId="0" applyFont="1" applyBorder="1" applyAlignment="1">
      <alignment horizontal="center" vertical="center"/>
    </xf>
    <xf numFmtId="0" fontId="27" fillId="0" borderId="37" xfId="0" applyFont="1" applyBorder="1" applyAlignment="1">
      <alignment vertical="center" wrapText="1"/>
    </xf>
    <xf numFmtId="0" fontId="27" fillId="0" borderId="37" xfId="0" applyFont="1" applyBorder="1" applyAlignment="1">
      <alignment horizontal="center" vertical="center" wrapText="1"/>
    </xf>
    <xf numFmtId="14" fontId="27" fillId="8" borderId="37" xfId="0" applyNumberFormat="1" applyFont="1" applyFill="1" applyBorder="1" applyAlignment="1">
      <alignment horizontal="center" vertical="center"/>
    </xf>
    <xf numFmtId="0" fontId="27" fillId="4" borderId="37" xfId="0" applyFont="1" applyFill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7" fillId="0" borderId="38" xfId="0" applyFont="1" applyBorder="1" applyAlignment="1">
      <alignment horizontal="center" vertical="center"/>
    </xf>
    <xf numFmtId="164" fontId="27" fillId="0" borderId="36" xfId="2" applyFont="1" applyFill="1" applyBorder="1" applyAlignment="1">
      <alignment horizontal="center" vertical="center" wrapText="1"/>
    </xf>
    <xf numFmtId="10" fontId="27" fillId="0" borderId="37" xfId="3" applyNumberFormat="1" applyFont="1" applyFill="1" applyBorder="1" applyAlignment="1">
      <alignment horizontal="center" vertical="center" wrapText="1"/>
    </xf>
    <xf numFmtId="164" fontId="27" fillId="0" borderId="38" xfId="0" applyNumberFormat="1" applyFont="1" applyBorder="1" applyAlignment="1">
      <alignment horizontal="center" vertical="center" wrapText="1"/>
    </xf>
    <xf numFmtId="0" fontId="29" fillId="15" borderId="0" xfId="0" applyFont="1" applyFill="1"/>
    <xf numFmtId="0" fontId="27" fillId="0" borderId="3" xfId="0" applyFont="1" applyBorder="1" applyAlignment="1">
      <alignment wrapText="1"/>
    </xf>
    <xf numFmtId="0" fontId="29" fillId="0" borderId="0" xfId="0" applyFont="1"/>
    <xf numFmtId="0" fontId="32" fillId="25" borderId="79" xfId="0" applyFont="1" applyFill="1" applyBorder="1" applyAlignment="1">
      <alignment vertical="center" wrapText="1"/>
    </xf>
    <xf numFmtId="0" fontId="33" fillId="0" borderId="3" xfId="0" applyFont="1" applyBorder="1" applyAlignment="1">
      <alignment wrapText="1"/>
    </xf>
    <xf numFmtId="0" fontId="32" fillId="25" borderId="79" xfId="0" applyFont="1" applyFill="1" applyBorder="1" applyAlignment="1">
      <alignment vertical="center"/>
    </xf>
    <xf numFmtId="0" fontId="27" fillId="0" borderId="3" xfId="0" applyFont="1" applyBorder="1"/>
    <xf numFmtId="0" fontId="34" fillId="0" borderId="3" xfId="0" applyFont="1" applyBorder="1" applyAlignment="1">
      <alignment wrapText="1"/>
    </xf>
    <xf numFmtId="0" fontId="27" fillId="0" borderId="0" xfId="0" applyFont="1" applyAlignment="1">
      <alignment wrapText="1"/>
    </xf>
    <xf numFmtId="0" fontId="33" fillId="0" borderId="0" xfId="0" applyFont="1"/>
    <xf numFmtId="0" fontId="29" fillId="26" borderId="0" xfId="0" applyFont="1" applyFill="1"/>
    <xf numFmtId="0" fontId="29" fillId="26" borderId="0" xfId="0" applyFont="1" applyFill="1" applyAlignment="1">
      <alignment horizontal="center"/>
    </xf>
    <xf numFmtId="0" fontId="17" fillId="0" borderId="16" xfId="4" applyFont="1" applyBorder="1" applyAlignment="1">
      <alignment horizontal="center" vertical="center" wrapText="1"/>
    </xf>
    <xf numFmtId="0" fontId="17" fillId="9" borderId="3" xfId="4" applyFont="1" applyFill="1" applyBorder="1" applyAlignment="1">
      <alignment horizontal="center" vertical="center" wrapText="1"/>
    </xf>
    <xf numFmtId="0" fontId="19" fillId="0" borderId="0" xfId="4" applyFont="1" applyAlignment="1">
      <alignment horizontal="center" vertical="center" wrapText="1"/>
    </xf>
    <xf numFmtId="0" fontId="21" fillId="0" borderId="18" xfId="0" applyFont="1" applyBorder="1" applyAlignment="1">
      <alignment horizontal="left" vertical="center"/>
    </xf>
    <xf numFmtId="164" fontId="21" fillId="0" borderId="19" xfId="2" applyFont="1" applyBorder="1" applyAlignment="1">
      <alignment horizontal="center" vertical="center"/>
    </xf>
    <xf numFmtId="164" fontId="21" fillId="0" borderId="7" xfId="2" applyFont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21" fillId="0" borderId="18" xfId="0" applyFont="1" applyBorder="1" applyAlignment="1">
      <alignment horizontal="center" vertical="center"/>
    </xf>
    <xf numFmtId="9" fontId="21" fillId="0" borderId="19" xfId="3" applyFont="1" applyBorder="1" applyAlignment="1">
      <alignment horizontal="center" vertical="center"/>
    </xf>
    <xf numFmtId="9" fontId="21" fillId="0" borderId="19" xfId="0" applyNumberFormat="1" applyFont="1" applyBorder="1" applyAlignment="1">
      <alignment horizontal="center" vertical="center"/>
    </xf>
    <xf numFmtId="0" fontId="17" fillId="21" borderId="3" xfId="4" applyFont="1" applyFill="1" applyBorder="1" applyAlignment="1">
      <alignment horizontal="center" vertical="center" wrapText="1"/>
    </xf>
    <xf numFmtId="0" fontId="19" fillId="0" borderId="3" xfId="4" applyFont="1" applyBorder="1" applyAlignment="1">
      <alignment horizontal="center" vertical="center" wrapText="1"/>
    </xf>
    <xf numFmtId="0" fontId="21" fillId="0" borderId="20" xfId="0" applyFont="1" applyBorder="1" applyAlignment="1">
      <alignment horizontal="left" vertical="center"/>
    </xf>
    <xf numFmtId="164" fontId="21" fillId="0" borderId="27" xfId="2" applyFont="1" applyBorder="1" applyAlignment="1">
      <alignment horizontal="center" vertical="center"/>
    </xf>
    <xf numFmtId="0" fontId="21" fillId="0" borderId="28" xfId="0" applyFont="1" applyBorder="1" applyAlignment="1">
      <alignment horizontal="left" vertical="center"/>
    </xf>
    <xf numFmtId="164" fontId="21" fillId="0" borderId="21" xfId="2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10" fontId="21" fillId="0" borderId="21" xfId="3" applyNumberFormat="1" applyFont="1" applyBorder="1" applyAlignment="1">
      <alignment horizontal="center" vertical="center"/>
    </xf>
    <xf numFmtId="0" fontId="17" fillId="22" borderId="3" xfId="4" applyFont="1" applyFill="1" applyBorder="1" applyAlignment="1">
      <alignment horizontal="center" vertical="center" wrapText="1"/>
    </xf>
    <xf numFmtId="0" fontId="21" fillId="0" borderId="20" xfId="0" applyFont="1" applyBorder="1" applyAlignment="1">
      <alignment horizontal="left"/>
    </xf>
    <xf numFmtId="164" fontId="21" fillId="0" borderId="21" xfId="2" applyFont="1" applyBorder="1"/>
    <xf numFmtId="0" fontId="17" fillId="23" borderId="3" xfId="4" applyFont="1" applyFill="1" applyBorder="1" applyAlignment="1">
      <alignment horizontal="center" vertical="center" wrapText="1"/>
    </xf>
    <xf numFmtId="0" fontId="35" fillId="0" borderId="3" xfId="5" applyFont="1" applyBorder="1" applyAlignment="1">
      <alignment horizontal="center" vertical="center" wrapText="1" shrinkToFit="1"/>
    </xf>
    <xf numFmtId="0" fontId="28" fillId="0" borderId="3" xfId="5" applyFont="1" applyBorder="1" applyAlignment="1">
      <alignment horizontal="center" vertical="center" wrapText="1" shrinkToFit="1"/>
    </xf>
    <xf numFmtId="0" fontId="17" fillId="24" borderId="3" xfId="5" applyFont="1" applyFill="1" applyBorder="1" applyAlignment="1">
      <alignment horizontal="center" wrapText="1"/>
    </xf>
    <xf numFmtId="0" fontId="19" fillId="0" borderId="3" xfId="5" applyFont="1" applyBorder="1" applyAlignment="1">
      <alignment horizontal="center" wrapText="1"/>
    </xf>
    <xf numFmtId="49" fontId="17" fillId="24" borderId="3" xfId="5" applyNumberFormat="1" applyFont="1" applyFill="1" applyBorder="1" applyAlignment="1">
      <alignment horizontal="center" wrapText="1"/>
    </xf>
    <xf numFmtId="0" fontId="17" fillId="22" borderId="3" xfId="5" applyFont="1" applyFill="1" applyBorder="1" applyAlignment="1">
      <alignment horizontal="center" wrapText="1"/>
    </xf>
    <xf numFmtId="49" fontId="17" fillId="22" borderId="3" xfId="5" applyNumberFormat="1" applyFont="1" applyFill="1" applyBorder="1" applyAlignment="1">
      <alignment horizontal="center" wrapText="1"/>
    </xf>
    <xf numFmtId="0" fontId="17" fillId="10" borderId="3" xfId="5" applyFont="1" applyFill="1" applyBorder="1" applyAlignment="1">
      <alignment horizontal="center" wrapText="1"/>
    </xf>
    <xf numFmtId="49" fontId="17" fillId="10" borderId="3" xfId="5" applyNumberFormat="1" applyFont="1" applyFill="1" applyBorder="1" applyAlignment="1">
      <alignment horizontal="center" wrapText="1"/>
    </xf>
    <xf numFmtId="0" fontId="33" fillId="0" borderId="0" xfId="1" applyFont="1"/>
    <xf numFmtId="0" fontId="36" fillId="0" borderId="0" xfId="1" applyFont="1" applyAlignment="1">
      <alignment vertical="center" wrapText="1"/>
    </xf>
    <xf numFmtId="0" fontId="37" fillId="0" borderId="3" xfId="1" applyFont="1" applyBorder="1"/>
    <xf numFmtId="0" fontId="33" fillId="0" borderId="0" xfId="1" applyFont="1" applyAlignment="1">
      <alignment wrapText="1"/>
    </xf>
    <xf numFmtId="166" fontId="21" fillId="0" borderId="0" xfId="6" applyNumberFormat="1" applyFont="1" applyAlignment="1">
      <alignment horizontal="center"/>
    </xf>
    <xf numFmtId="0" fontId="33" fillId="0" borderId="0" xfId="1" applyFont="1" applyAlignment="1">
      <alignment horizontal="center"/>
    </xf>
    <xf numFmtId="0" fontId="26" fillId="7" borderId="6" xfId="1" applyFont="1" applyFill="1" applyBorder="1" applyAlignment="1">
      <alignment horizontal="center" vertical="center"/>
    </xf>
    <xf numFmtId="0" fontId="39" fillId="19" borderId="70" xfId="0" applyFont="1" applyFill="1" applyBorder="1" applyAlignment="1">
      <alignment horizontal="center" vertical="center" wrapText="1"/>
    </xf>
    <xf numFmtId="0" fontId="39" fillId="19" borderId="71" xfId="0" applyFont="1" applyFill="1" applyBorder="1" applyAlignment="1">
      <alignment horizontal="center" vertical="center" wrapText="1"/>
    </xf>
    <xf numFmtId="0" fontId="39" fillId="18" borderId="71" xfId="0" applyFont="1" applyFill="1" applyBorder="1" applyAlignment="1">
      <alignment horizontal="center" vertical="center" wrapText="1"/>
    </xf>
    <xf numFmtId="0" fontId="39" fillId="17" borderId="71" xfId="0" applyFont="1" applyFill="1" applyBorder="1" applyAlignment="1">
      <alignment horizontal="center" vertical="center" wrapText="1"/>
    </xf>
    <xf numFmtId="0" fontId="39" fillId="10" borderId="73" xfId="0" applyFont="1" applyFill="1" applyBorder="1" applyAlignment="1">
      <alignment horizontal="center" vertical="center" wrapText="1"/>
    </xf>
    <xf numFmtId="0" fontId="40" fillId="10" borderId="73" xfId="0" applyFont="1" applyFill="1" applyBorder="1" applyAlignment="1">
      <alignment horizontal="center" vertical="center" wrapText="1"/>
    </xf>
    <xf numFmtId="0" fontId="39" fillId="18" borderId="70" xfId="0" applyFont="1" applyFill="1" applyBorder="1" applyAlignment="1">
      <alignment horizontal="center" vertical="center" wrapText="1"/>
    </xf>
    <xf numFmtId="0" fontId="40" fillId="10" borderId="71" xfId="0" applyFont="1" applyFill="1" applyBorder="1" applyAlignment="1">
      <alignment horizontal="center" vertical="center" wrapText="1"/>
    </xf>
    <xf numFmtId="0" fontId="39" fillId="10" borderId="71" xfId="0" applyFont="1" applyFill="1" applyBorder="1" applyAlignment="1">
      <alignment horizontal="center" vertical="center" wrapText="1"/>
    </xf>
    <xf numFmtId="0" fontId="40" fillId="20" borderId="73" xfId="0" applyFont="1" applyFill="1" applyBorder="1" applyAlignment="1">
      <alignment horizontal="center" vertical="center" wrapText="1"/>
    </xf>
    <xf numFmtId="0" fontId="39" fillId="17" borderId="74" xfId="0" applyFont="1" applyFill="1" applyBorder="1" applyAlignment="1">
      <alignment horizontal="center" vertical="center" wrapText="1"/>
    </xf>
    <xf numFmtId="0" fontId="39" fillId="17" borderId="75" xfId="0" applyFont="1" applyFill="1" applyBorder="1" applyAlignment="1">
      <alignment horizontal="center" vertical="center" wrapText="1"/>
    </xf>
    <xf numFmtId="0" fontId="40" fillId="10" borderId="75" xfId="0" applyFont="1" applyFill="1" applyBorder="1" applyAlignment="1">
      <alignment horizontal="center" vertical="center" wrapText="1"/>
    </xf>
    <xf numFmtId="0" fontId="40" fillId="20" borderId="75" xfId="0" applyFont="1" applyFill="1" applyBorder="1" applyAlignment="1">
      <alignment horizontal="center" vertical="center" wrapText="1"/>
    </xf>
    <xf numFmtId="0" fontId="40" fillId="20" borderId="76" xfId="0" applyFont="1" applyFill="1" applyBorder="1" applyAlignment="1">
      <alignment horizontal="center" vertical="center" wrapText="1"/>
    </xf>
    <xf numFmtId="0" fontId="41" fillId="7" borderId="3" xfId="1" applyFont="1" applyFill="1" applyBorder="1"/>
    <xf numFmtId="0" fontId="37" fillId="0" borderId="3" xfId="1" applyFont="1" applyBorder="1" applyAlignment="1">
      <alignment vertical="center"/>
    </xf>
    <xf numFmtId="167" fontId="37" fillId="0" borderId="3" xfId="2" applyNumberFormat="1" applyFont="1" applyBorder="1" applyAlignment="1">
      <alignment vertical="center"/>
    </xf>
    <xf numFmtId="167" fontId="38" fillId="0" borderId="3" xfId="2" applyNumberFormat="1" applyFont="1" applyBorder="1" applyAlignment="1">
      <alignment horizontal="center"/>
    </xf>
    <xf numFmtId="0" fontId="37" fillId="0" borderId="2" xfId="1" applyFont="1" applyBorder="1" applyAlignment="1">
      <alignment vertical="center"/>
    </xf>
    <xf numFmtId="0" fontId="42" fillId="26" borderId="79" xfId="1" applyFont="1" applyFill="1" applyBorder="1" applyAlignment="1">
      <alignment horizontal="center" vertical="center" wrapText="1"/>
    </xf>
    <xf numFmtId="167" fontId="37" fillId="0" borderId="2" xfId="2" applyNumberFormat="1" applyFont="1" applyBorder="1" applyAlignment="1">
      <alignment vertical="center"/>
    </xf>
    <xf numFmtId="166" fontId="42" fillId="26" borderId="79" xfId="6" applyNumberFormat="1" applyFont="1" applyFill="1" applyBorder="1" applyAlignment="1">
      <alignment horizontal="center" vertical="center" wrapText="1"/>
    </xf>
    <xf numFmtId="0" fontId="37" fillId="0" borderId="2" xfId="1" applyFont="1" applyBorder="1"/>
    <xf numFmtId="0" fontId="33" fillId="0" borderId="2" xfId="1" applyFont="1" applyBorder="1"/>
    <xf numFmtId="167" fontId="38" fillId="0" borderId="2" xfId="2" applyNumberFormat="1" applyFont="1" applyBorder="1" applyAlignment="1">
      <alignment horizontal="center"/>
    </xf>
    <xf numFmtId="0" fontId="24" fillId="26" borderId="79" xfId="0" applyFont="1" applyFill="1" applyBorder="1" applyAlignment="1">
      <alignment horizontal="center" vertical="center"/>
    </xf>
    <xf numFmtId="0" fontId="29" fillId="26" borderId="2" xfId="1" applyFont="1" applyFill="1" applyBorder="1" applyAlignment="1">
      <alignment horizontal="center"/>
    </xf>
    <xf numFmtId="0" fontId="29" fillId="26" borderId="3" xfId="1" applyFont="1" applyFill="1" applyBorder="1" applyAlignment="1">
      <alignment horizontal="center"/>
    </xf>
    <xf numFmtId="0" fontId="41" fillId="26" borderId="3" xfId="1" applyFont="1" applyFill="1" applyBorder="1"/>
    <xf numFmtId="0" fontId="42" fillId="26" borderId="7" xfId="1" applyFont="1" applyFill="1" applyBorder="1" applyAlignment="1">
      <alignment horizontal="center" vertical="center" wrapText="1"/>
    </xf>
    <xf numFmtId="0" fontId="24" fillId="26" borderId="16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left" vertical="center"/>
    </xf>
    <xf numFmtId="0" fontId="15" fillId="26" borderId="14" xfId="0" applyFont="1" applyFill="1" applyBorder="1" applyAlignment="1">
      <alignment horizontal="center" vertical="center"/>
    </xf>
    <xf numFmtId="0" fontId="15" fillId="26" borderId="0" xfId="0" applyFont="1" applyFill="1" applyAlignment="1">
      <alignment horizontal="center" vertical="center"/>
    </xf>
    <xf numFmtId="0" fontId="15" fillId="26" borderId="15" xfId="0" applyFont="1" applyFill="1" applyBorder="1" applyAlignment="1">
      <alignment horizontal="center" vertical="center"/>
    </xf>
    <xf numFmtId="0" fontId="13" fillId="4" borderId="11" xfId="0" applyFont="1" applyFill="1" applyBorder="1" applyAlignment="1" applyProtection="1">
      <alignment horizontal="center" vertical="center" wrapText="1"/>
      <protection locked="0"/>
    </xf>
    <xf numFmtId="0" fontId="13" fillId="4" borderId="12" xfId="0" applyFont="1" applyFill="1" applyBorder="1" applyAlignment="1" applyProtection="1">
      <alignment horizontal="center" vertical="center" wrapText="1"/>
      <protection locked="0"/>
    </xf>
    <xf numFmtId="0" fontId="13" fillId="4" borderId="13" xfId="0" applyFont="1" applyFill="1" applyBorder="1" applyAlignment="1" applyProtection="1">
      <alignment horizontal="center" vertical="center" wrapText="1"/>
      <protection locked="0"/>
    </xf>
    <xf numFmtId="0" fontId="13" fillId="4" borderId="14" xfId="0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4" borderId="15" xfId="0" applyFont="1" applyFill="1" applyBorder="1" applyAlignment="1" applyProtection="1">
      <alignment horizontal="center" vertical="center" wrapText="1"/>
      <protection locked="0"/>
    </xf>
    <xf numFmtId="0" fontId="13" fillId="4" borderId="10" xfId="0" applyFont="1" applyFill="1" applyBorder="1" applyAlignment="1" applyProtection="1">
      <alignment horizontal="center" vertical="center" wrapText="1"/>
      <protection locked="0"/>
    </xf>
    <xf numFmtId="0" fontId="13" fillId="4" borderId="17" xfId="0" applyFont="1" applyFill="1" applyBorder="1" applyAlignment="1" applyProtection="1">
      <alignment horizontal="center" vertical="center" wrapText="1"/>
      <protection locked="0"/>
    </xf>
    <xf numFmtId="0" fontId="13" fillId="4" borderId="9" xfId="0" applyFont="1" applyFill="1" applyBorder="1" applyAlignment="1" applyProtection="1">
      <alignment horizontal="center" vertical="center" wrapText="1"/>
      <protection locked="0"/>
    </xf>
    <xf numFmtId="0" fontId="18" fillId="13" borderId="12" xfId="0" applyFont="1" applyFill="1" applyBorder="1" applyAlignment="1" applyProtection="1">
      <alignment horizontal="center" vertical="center"/>
      <protection hidden="1"/>
    </xf>
    <xf numFmtId="0" fontId="18" fillId="13" borderId="0" xfId="0" applyFont="1" applyFill="1" applyAlignment="1" applyProtection="1">
      <alignment horizontal="center" vertical="center"/>
      <protection hidden="1"/>
    </xf>
    <xf numFmtId="0" fontId="18" fillId="13" borderId="17" xfId="0" applyFont="1" applyFill="1" applyBorder="1" applyAlignment="1" applyProtection="1">
      <alignment horizontal="center" vertical="center"/>
      <protection hidden="1"/>
    </xf>
    <xf numFmtId="0" fontId="15" fillId="26" borderId="11" xfId="0" applyFont="1" applyFill="1" applyBorder="1" applyAlignment="1">
      <alignment horizontal="center" vertical="center"/>
    </xf>
    <xf numFmtId="0" fontId="15" fillId="26" borderId="12" xfId="0" applyFont="1" applyFill="1" applyBorder="1" applyAlignment="1">
      <alignment horizontal="center" vertical="center"/>
    </xf>
    <xf numFmtId="0" fontId="15" fillId="26" borderId="13" xfId="0" applyFont="1" applyFill="1" applyBorder="1" applyAlignment="1">
      <alignment horizontal="center" vertical="center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7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/>
      <protection locked="0"/>
    </xf>
    <xf numFmtId="0" fontId="13" fillId="0" borderId="2" xfId="0" applyFont="1" applyBorder="1" applyAlignment="1" applyProtection="1">
      <alignment horizontal="left"/>
      <protection locked="0"/>
    </xf>
    <xf numFmtId="0" fontId="13" fillId="0" borderId="10" xfId="0" applyFont="1" applyBorder="1" applyAlignment="1" applyProtection="1">
      <alignment horizontal="left"/>
      <protection locked="0"/>
    </xf>
    <xf numFmtId="0" fontId="13" fillId="0" borderId="8" xfId="0" applyFont="1" applyBorder="1" applyAlignment="1" applyProtection="1">
      <alignment horizontal="left"/>
      <protection locked="0"/>
    </xf>
    <xf numFmtId="0" fontId="13" fillId="0" borderId="3" xfId="0" applyFont="1" applyBorder="1" applyAlignment="1" applyProtection="1">
      <alignment horizontal="left"/>
      <protection locked="0"/>
    </xf>
    <xf numFmtId="0" fontId="13" fillId="0" borderId="7" xfId="0" applyFont="1" applyBorder="1" applyAlignment="1" applyProtection="1">
      <alignment horizontal="left"/>
      <protection locked="0"/>
    </xf>
    <xf numFmtId="0" fontId="13" fillId="0" borderId="16" xfId="0" applyFont="1" applyBorder="1" applyAlignment="1" applyProtection="1">
      <alignment horizontal="left"/>
      <protection locked="0"/>
    </xf>
    <xf numFmtId="0" fontId="13" fillId="0" borderId="3" xfId="0" applyFont="1" applyBorder="1" applyAlignment="1" applyProtection="1">
      <alignment horizontal="left" vertical="center" wrapText="1"/>
      <protection locked="0"/>
    </xf>
    <xf numFmtId="0" fontId="15" fillId="5" borderId="7" xfId="0" applyFont="1" applyFill="1" applyBorder="1" applyAlignment="1">
      <alignment horizontal="center" vertical="center"/>
    </xf>
    <xf numFmtId="0" fontId="15" fillId="5" borderId="16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0" fillId="26" borderId="0" xfId="0" applyFont="1" applyFill="1" applyAlignment="1">
      <alignment horizontal="center" wrapText="1"/>
    </xf>
    <xf numFmtId="0" fontId="13" fillId="0" borderId="7" xfId="0" applyFont="1" applyBorder="1" applyAlignment="1" applyProtection="1">
      <alignment horizontal="left" vertical="center" wrapText="1"/>
      <protection locked="0"/>
    </xf>
    <xf numFmtId="0" fontId="13" fillId="0" borderId="16" xfId="0" applyFont="1" applyBorder="1" applyAlignment="1" applyProtection="1">
      <alignment horizontal="left" vertical="center" wrapText="1"/>
      <protection locked="0"/>
    </xf>
    <xf numFmtId="0" fontId="13" fillId="0" borderId="8" xfId="0" applyFont="1" applyBorder="1" applyAlignment="1" applyProtection="1">
      <alignment horizontal="left" vertical="center" wrapText="1"/>
      <protection locked="0"/>
    </xf>
    <xf numFmtId="0" fontId="15" fillId="26" borderId="7" xfId="0" applyFont="1" applyFill="1" applyBorder="1" applyAlignment="1">
      <alignment horizontal="center" vertical="center"/>
    </xf>
    <xf numFmtId="0" fontId="15" fillId="26" borderId="16" xfId="0" applyFont="1" applyFill="1" applyBorder="1" applyAlignment="1">
      <alignment horizontal="center" vertical="center"/>
    </xf>
    <xf numFmtId="0" fontId="15" fillId="26" borderId="8" xfId="0" applyFont="1" applyFill="1" applyBorder="1" applyAlignment="1">
      <alignment horizontal="center" vertical="center"/>
    </xf>
    <xf numFmtId="0" fontId="13" fillId="0" borderId="15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4" fillId="4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15" fillId="26" borderId="3" xfId="0" applyFont="1" applyFill="1" applyBorder="1" applyAlignment="1">
      <alignment horizontal="center" vertical="center" wrapText="1"/>
    </xf>
    <xf numFmtId="0" fontId="15" fillId="26" borderId="6" xfId="0" applyFont="1" applyFill="1" applyBorder="1" applyAlignment="1">
      <alignment horizontal="center" vertical="center" wrapText="1"/>
    </xf>
    <xf numFmtId="0" fontId="15" fillId="26" borderId="22" xfId="0" applyFont="1" applyFill="1" applyBorder="1" applyAlignment="1">
      <alignment horizontal="center" vertical="center"/>
    </xf>
    <xf numFmtId="0" fontId="15" fillId="26" borderId="23" xfId="0" applyFont="1" applyFill="1" applyBorder="1" applyAlignment="1">
      <alignment horizontal="center" vertical="center"/>
    </xf>
    <xf numFmtId="0" fontId="15" fillId="26" borderId="24" xfId="0" applyFont="1" applyFill="1" applyBorder="1" applyAlignment="1">
      <alignment horizontal="center" vertical="center"/>
    </xf>
    <xf numFmtId="0" fontId="15" fillId="26" borderId="3" xfId="0" applyFont="1" applyFill="1" applyBorder="1" applyAlignment="1">
      <alignment horizontal="center" vertical="center"/>
    </xf>
    <xf numFmtId="0" fontId="15" fillId="26" borderId="6" xfId="0" applyFont="1" applyFill="1" applyBorder="1" applyAlignment="1">
      <alignment horizontal="center" vertical="center"/>
    </xf>
    <xf numFmtId="0" fontId="13" fillId="0" borderId="18" xfId="0" applyFont="1" applyBorder="1" applyAlignment="1" applyProtection="1">
      <alignment horizontal="center" vertical="center"/>
      <protection hidden="1"/>
    </xf>
    <xf numFmtId="0" fontId="13" fillId="0" borderId="20" xfId="0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25" xfId="0" applyFont="1" applyBorder="1" applyAlignment="1" applyProtection="1">
      <alignment horizontal="center" vertical="center"/>
      <protection hidden="1"/>
    </xf>
    <xf numFmtId="0" fontId="13" fillId="0" borderId="19" xfId="0" applyFont="1" applyBorder="1" applyAlignment="1" applyProtection="1">
      <alignment horizontal="center" vertical="center"/>
      <protection hidden="1"/>
    </xf>
    <xf numFmtId="0" fontId="13" fillId="0" borderId="21" xfId="0" applyFont="1" applyBorder="1" applyAlignment="1" applyProtection="1">
      <alignment horizontal="center" vertical="center"/>
      <protection hidden="1"/>
    </xf>
    <xf numFmtId="0" fontId="13" fillId="4" borderId="7" xfId="0" applyFont="1" applyFill="1" applyBorder="1" applyAlignment="1" applyProtection="1">
      <alignment horizontal="left" vertical="center" wrapText="1"/>
      <protection locked="0"/>
    </xf>
    <xf numFmtId="0" fontId="13" fillId="4" borderId="8" xfId="0" applyFont="1" applyFill="1" applyBorder="1" applyAlignment="1" applyProtection="1">
      <alignment horizontal="left" vertical="center" wrapText="1"/>
      <protection locked="0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16" xfId="0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 applyProtection="1">
      <alignment horizontal="left" vertical="center"/>
      <protection locked="0"/>
    </xf>
    <xf numFmtId="0" fontId="13" fillId="0" borderId="2" xfId="0" quotePrefix="1" applyFont="1" applyBorder="1" applyAlignment="1" applyProtection="1">
      <alignment horizontal="left" vertical="center"/>
      <protection locked="0"/>
    </xf>
    <xf numFmtId="0" fontId="13" fillId="0" borderId="3" xfId="0" quotePrefix="1" applyFont="1" applyBorder="1" applyAlignment="1" applyProtection="1">
      <alignment horizontal="left" vertical="center"/>
      <protection locked="0"/>
    </xf>
    <xf numFmtId="0" fontId="13" fillId="0" borderId="3" xfId="0" applyFont="1" applyBorder="1" applyAlignment="1" applyProtection="1">
      <alignment horizontal="left" vertical="center"/>
      <protection locked="0"/>
    </xf>
    <xf numFmtId="0" fontId="13" fillId="0" borderId="52" xfId="0" applyFont="1" applyBorder="1" applyAlignment="1">
      <alignment horizontal="left"/>
    </xf>
    <xf numFmtId="0" fontId="13" fillId="0" borderId="53" xfId="0" applyFont="1" applyBorder="1" applyAlignment="1">
      <alignment horizontal="left"/>
    </xf>
    <xf numFmtId="0" fontId="13" fillId="0" borderId="51" xfId="0" applyFont="1" applyBorder="1" applyAlignment="1">
      <alignment horizontal="left"/>
    </xf>
    <xf numFmtId="0" fontId="13" fillId="0" borderId="52" xfId="0" quotePrefix="1" applyFont="1" applyBorder="1" applyAlignment="1">
      <alignment horizontal="left" vertical="center"/>
    </xf>
    <xf numFmtId="0" fontId="13" fillId="0" borderId="69" xfId="0" quotePrefix="1" applyFont="1" applyBorder="1" applyAlignment="1">
      <alignment horizontal="left" vertical="center"/>
    </xf>
    <xf numFmtId="0" fontId="15" fillId="11" borderId="39" xfId="0" applyFont="1" applyFill="1" applyBorder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5" fillId="11" borderId="41" xfId="0" applyFont="1" applyFill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50" xfId="0" applyFont="1" applyBorder="1" applyAlignment="1">
      <alignment horizontal="center" vertical="center"/>
    </xf>
    <xf numFmtId="0" fontId="13" fillId="0" borderId="77" xfId="0" applyFont="1" applyBorder="1" applyAlignment="1">
      <alignment horizontal="center" vertical="center"/>
    </xf>
    <xf numFmtId="0" fontId="13" fillId="0" borderId="78" xfId="0" applyFont="1" applyBorder="1" applyAlignment="1">
      <alignment horizontal="center" vertical="center"/>
    </xf>
    <xf numFmtId="0" fontId="17" fillId="8" borderId="39" xfId="0" applyFont="1" applyFill="1" applyBorder="1" applyAlignment="1">
      <alignment horizontal="center" vertical="center"/>
    </xf>
    <xf numFmtId="0" fontId="17" fillId="8" borderId="40" xfId="0" applyFont="1" applyFill="1" applyBorder="1" applyAlignment="1">
      <alignment horizontal="center" vertical="center"/>
    </xf>
    <xf numFmtId="0" fontId="17" fillId="8" borderId="41" xfId="0" applyFont="1" applyFill="1" applyBorder="1" applyAlignment="1">
      <alignment horizontal="center" vertical="center"/>
    </xf>
    <xf numFmtId="0" fontId="18" fillId="4" borderId="61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/>
    </xf>
    <xf numFmtId="0" fontId="18" fillId="4" borderId="59" xfId="0" applyFont="1" applyFill="1" applyBorder="1" applyAlignment="1">
      <alignment horizontal="center" vertical="center"/>
    </xf>
    <xf numFmtId="0" fontId="18" fillId="4" borderId="17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0" fontId="18" fillId="4" borderId="6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18" fillId="4" borderId="50" xfId="0" applyFont="1" applyFill="1" applyBorder="1" applyAlignment="1">
      <alignment horizontal="center" vertical="center" wrapText="1"/>
    </xf>
    <xf numFmtId="0" fontId="13" fillId="0" borderId="7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8" fillId="4" borderId="11" xfId="0" applyFont="1" applyFill="1" applyBorder="1" applyAlignment="1">
      <alignment horizontal="center" vertical="center"/>
    </xf>
    <xf numFmtId="0" fontId="18" fillId="4" borderId="14" xfId="0" applyFont="1" applyFill="1" applyBorder="1" applyAlignment="1">
      <alignment horizontal="center" vertical="center"/>
    </xf>
    <xf numFmtId="0" fontId="18" fillId="4" borderId="15" xfId="0" applyFont="1" applyFill="1" applyBorder="1" applyAlignment="1">
      <alignment horizontal="center" vertical="center"/>
    </xf>
    <xf numFmtId="0" fontId="18" fillId="4" borderId="68" xfId="0" applyFont="1" applyFill="1" applyBorder="1" applyAlignment="1">
      <alignment horizontal="center" vertical="center"/>
    </xf>
    <xf numFmtId="0" fontId="18" fillId="4" borderId="67" xfId="0" applyFont="1" applyFill="1" applyBorder="1" applyAlignment="1">
      <alignment horizontal="center" vertical="center"/>
    </xf>
    <xf numFmtId="0" fontId="13" fillId="0" borderId="7" xfId="0" quotePrefix="1" applyFont="1" applyBorder="1" applyAlignment="1">
      <alignment horizontal="left" vertical="center"/>
    </xf>
    <xf numFmtId="0" fontId="13" fillId="0" borderId="62" xfId="0" quotePrefix="1" applyFont="1" applyBorder="1" applyAlignment="1">
      <alignment horizontal="left" vertical="center"/>
    </xf>
    <xf numFmtId="0" fontId="15" fillId="26" borderId="63" xfId="0" applyFont="1" applyFill="1" applyBorder="1" applyAlignment="1">
      <alignment horizontal="center" vertical="center"/>
    </xf>
    <xf numFmtId="0" fontId="15" fillId="26" borderId="62" xfId="0" applyFont="1" applyFill="1" applyBorder="1" applyAlignment="1">
      <alignment horizontal="center" vertical="center"/>
    </xf>
    <xf numFmtId="0" fontId="18" fillId="4" borderId="64" xfId="0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8" fillId="4" borderId="65" xfId="0" applyFont="1" applyFill="1" applyBorder="1" applyAlignment="1">
      <alignment horizontal="center" vertical="center"/>
    </xf>
    <xf numFmtId="0" fontId="18" fillId="4" borderId="66" xfId="0" applyFont="1" applyFill="1" applyBorder="1" applyAlignment="1">
      <alignment horizontal="center" vertical="center"/>
    </xf>
    <xf numFmtId="0" fontId="22" fillId="16" borderId="6" xfId="0" applyFont="1" applyFill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22" fillId="16" borderId="50" xfId="0" applyFont="1" applyFill="1" applyBorder="1" applyAlignment="1">
      <alignment horizontal="center" vertical="center"/>
    </xf>
    <xf numFmtId="0" fontId="13" fillId="0" borderId="7" xfId="0" applyFont="1" applyBorder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5" fillId="26" borderId="54" xfId="0" applyFont="1" applyFill="1" applyBorder="1" applyAlignment="1">
      <alignment horizontal="center" vertical="center"/>
    </xf>
    <xf numFmtId="0" fontId="15" fillId="26" borderId="55" xfId="0" applyFont="1" applyFill="1" applyBorder="1" applyAlignment="1">
      <alignment horizontal="center" vertical="center"/>
    </xf>
    <xf numFmtId="0" fontId="15" fillId="26" borderId="56" xfId="0" applyFont="1" applyFill="1" applyBorder="1" applyAlignment="1">
      <alignment horizontal="center" vertical="center"/>
    </xf>
    <xf numFmtId="0" fontId="15" fillId="26" borderId="59" xfId="0" applyFont="1" applyFill="1" applyBorder="1" applyAlignment="1">
      <alignment horizontal="center" vertical="center"/>
    </xf>
    <xf numFmtId="0" fontId="15" fillId="26" borderId="17" xfId="0" applyFont="1" applyFill="1" applyBorder="1" applyAlignment="1">
      <alignment horizontal="center" vertical="center"/>
    </xf>
    <xf numFmtId="0" fontId="15" fillId="26" borderId="9" xfId="0" applyFont="1" applyFill="1" applyBorder="1" applyAlignment="1">
      <alignment horizontal="center" vertical="center"/>
    </xf>
    <xf numFmtId="0" fontId="15" fillId="26" borderId="43" xfId="0" applyFont="1" applyFill="1" applyBorder="1" applyAlignment="1">
      <alignment horizontal="center" vertical="center" wrapText="1"/>
    </xf>
    <xf numFmtId="0" fontId="15" fillId="26" borderId="2" xfId="0" applyFont="1" applyFill="1" applyBorder="1" applyAlignment="1">
      <alignment horizontal="center" vertical="center" wrapText="1"/>
    </xf>
    <xf numFmtId="0" fontId="15" fillId="26" borderId="57" xfId="0" applyFont="1" applyFill="1" applyBorder="1" applyAlignment="1">
      <alignment horizontal="center" vertical="center"/>
    </xf>
    <xf numFmtId="0" fontId="15" fillId="26" borderId="10" xfId="0" applyFont="1" applyFill="1" applyBorder="1" applyAlignment="1">
      <alignment horizontal="center" vertical="center"/>
    </xf>
    <xf numFmtId="0" fontId="15" fillId="26" borderId="57" xfId="0" applyFont="1" applyFill="1" applyBorder="1" applyAlignment="1">
      <alignment horizontal="center" vertical="center" wrapText="1"/>
    </xf>
    <xf numFmtId="0" fontId="15" fillId="26" borderId="55" xfId="0" applyFont="1" applyFill="1" applyBorder="1" applyAlignment="1">
      <alignment horizontal="center" vertical="center" wrapText="1"/>
    </xf>
    <xf numFmtId="0" fontId="15" fillId="26" borderId="58" xfId="0" applyFont="1" applyFill="1" applyBorder="1" applyAlignment="1">
      <alignment horizontal="center" vertical="center" wrapText="1"/>
    </xf>
    <xf numFmtId="0" fontId="15" fillId="26" borderId="10" xfId="0" applyFont="1" applyFill="1" applyBorder="1" applyAlignment="1">
      <alignment horizontal="center" vertical="center" wrapText="1"/>
    </xf>
    <xf numFmtId="0" fontId="15" fillId="26" borderId="17" xfId="0" applyFont="1" applyFill="1" applyBorder="1" applyAlignment="1">
      <alignment horizontal="center" vertical="center" wrapText="1"/>
    </xf>
    <xf numFmtId="0" fontId="15" fillId="26" borderId="60" xfId="0" applyFont="1" applyFill="1" applyBorder="1" applyAlignment="1">
      <alignment horizontal="center" vertical="center" wrapText="1"/>
    </xf>
    <xf numFmtId="0" fontId="23" fillId="26" borderId="0" xfId="0" applyFont="1" applyFill="1" applyAlignment="1">
      <alignment horizontal="center" vertical="center" wrapText="1"/>
    </xf>
    <xf numFmtId="0" fontId="23" fillId="26" borderId="0" xfId="0" applyFont="1" applyFill="1" applyAlignment="1">
      <alignment horizontal="center" vertical="center"/>
    </xf>
    <xf numFmtId="0" fontId="26" fillId="26" borderId="29" xfId="0" applyFont="1" applyFill="1" applyBorder="1" applyAlignment="1">
      <alignment horizontal="center" vertical="center"/>
    </xf>
    <xf numFmtId="0" fontId="26" fillId="26" borderId="30" xfId="0" applyFont="1" applyFill="1" applyBorder="1" applyAlignment="1">
      <alignment horizontal="center" vertical="center"/>
    </xf>
    <xf numFmtId="0" fontId="26" fillId="26" borderId="31" xfId="0" applyFont="1" applyFill="1" applyBorder="1" applyAlignment="1">
      <alignment horizontal="center" vertical="center"/>
    </xf>
    <xf numFmtId="0" fontId="26" fillId="26" borderId="39" xfId="0" applyFont="1" applyFill="1" applyBorder="1" applyAlignment="1">
      <alignment horizontal="center" vertical="center"/>
    </xf>
    <xf numFmtId="0" fontId="26" fillId="26" borderId="40" xfId="0" applyFont="1" applyFill="1" applyBorder="1" applyAlignment="1">
      <alignment horizontal="center" vertical="center"/>
    </xf>
    <xf numFmtId="0" fontId="26" fillId="26" borderId="41" xfId="0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9" fillId="16" borderId="47" xfId="0" applyFont="1" applyFill="1" applyBorder="1" applyAlignment="1">
      <alignment horizontal="center" vertical="center"/>
    </xf>
    <xf numFmtId="0" fontId="29" fillId="16" borderId="48" xfId="0" applyFont="1" applyFill="1" applyBorder="1" applyAlignment="1">
      <alignment horizontal="center" vertical="center"/>
    </xf>
    <xf numFmtId="0" fontId="29" fillId="16" borderId="49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50" xfId="0" applyFont="1" applyFill="1" applyBorder="1" applyAlignment="1">
      <alignment horizontal="center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16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27" fillId="0" borderId="52" xfId="0" applyFont="1" applyBorder="1" applyAlignment="1">
      <alignment horizontal="left" vertical="center" wrapText="1"/>
    </xf>
    <xf numFmtId="0" fontId="27" fillId="0" borderId="53" xfId="0" applyFont="1" applyBorder="1" applyAlignment="1">
      <alignment horizontal="left" vertical="center" wrapText="1"/>
    </xf>
    <xf numFmtId="0" fontId="27" fillId="0" borderId="51" xfId="0" applyFont="1" applyBorder="1" applyAlignment="1">
      <alignment horizontal="left" vertical="center" wrapText="1"/>
    </xf>
    <xf numFmtId="0" fontId="30" fillId="9" borderId="42" xfId="0" applyFont="1" applyFill="1" applyBorder="1" applyAlignment="1">
      <alignment horizontal="center" vertical="center"/>
    </xf>
    <xf numFmtId="0" fontId="30" fillId="9" borderId="46" xfId="0" applyFont="1" applyFill="1" applyBorder="1" applyAlignment="1">
      <alignment horizontal="center" vertical="center"/>
    </xf>
    <xf numFmtId="0" fontId="30" fillId="9" borderId="43" xfId="0" applyFont="1" applyFill="1" applyBorder="1" applyAlignment="1">
      <alignment horizontal="center" vertical="center" wrapText="1"/>
    </xf>
    <xf numFmtId="0" fontId="30" fillId="9" borderId="2" xfId="0" applyFont="1" applyFill="1" applyBorder="1" applyAlignment="1">
      <alignment horizontal="center" vertical="center" wrapText="1"/>
    </xf>
    <xf numFmtId="0" fontId="26" fillId="5" borderId="44" xfId="0" applyFont="1" applyFill="1" applyBorder="1" applyAlignment="1">
      <alignment horizontal="center" vertical="center"/>
    </xf>
    <xf numFmtId="0" fontId="26" fillId="5" borderId="40" xfId="0" applyFont="1" applyFill="1" applyBorder="1" applyAlignment="1">
      <alignment horizontal="center" vertical="center"/>
    </xf>
    <xf numFmtId="0" fontId="26" fillId="5" borderId="45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left" vertical="top" wrapText="1"/>
    </xf>
    <xf numFmtId="0" fontId="27" fillId="0" borderId="12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14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27" fillId="0" borderId="15" xfId="0" applyFont="1" applyBorder="1" applyAlignment="1">
      <alignment horizontal="left" vertical="top" wrapText="1"/>
    </xf>
    <xf numFmtId="0" fontId="27" fillId="0" borderId="10" xfId="0" applyFont="1" applyBorder="1" applyAlignment="1">
      <alignment horizontal="left" vertical="top" wrapText="1"/>
    </xf>
    <xf numFmtId="0" fontId="27" fillId="0" borderId="17" xfId="0" applyFont="1" applyBorder="1" applyAlignment="1">
      <alignment horizontal="left" vertical="top" wrapText="1"/>
    </xf>
    <xf numFmtId="0" fontId="27" fillId="0" borderId="9" xfId="0" applyFont="1" applyBorder="1" applyAlignment="1">
      <alignment horizontal="left" vertical="top" wrapText="1"/>
    </xf>
    <xf numFmtId="0" fontId="26" fillId="3" borderId="44" xfId="0" applyFont="1" applyFill="1" applyBorder="1" applyAlignment="1">
      <alignment horizontal="center" vertical="center"/>
    </xf>
    <xf numFmtId="0" fontId="26" fillId="3" borderId="40" xfId="0" applyFont="1" applyFill="1" applyBorder="1" applyAlignment="1">
      <alignment horizontal="center" vertical="center"/>
    </xf>
    <xf numFmtId="0" fontId="26" fillId="3" borderId="45" xfId="0" applyFont="1" applyFill="1" applyBorder="1" applyAlignment="1">
      <alignment horizontal="center" vertical="center"/>
    </xf>
    <xf numFmtId="0" fontId="26" fillId="5" borderId="41" xfId="0" applyFont="1" applyFill="1" applyBorder="1" applyAlignment="1">
      <alignment horizontal="center" vertical="center"/>
    </xf>
    <xf numFmtId="0" fontId="26" fillId="26" borderId="44" xfId="0" applyFont="1" applyFill="1" applyBorder="1" applyAlignment="1">
      <alignment horizontal="center" vertical="center"/>
    </xf>
    <xf numFmtId="0" fontId="26" fillId="26" borderId="45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13" xfId="0" applyFont="1" applyBorder="1" applyAlignment="1">
      <alignment horizontal="left" vertical="center" wrapText="1"/>
    </xf>
    <xf numFmtId="0" fontId="27" fillId="0" borderId="14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7" fillId="0" borderId="15" xfId="0" applyFont="1" applyBorder="1" applyAlignment="1">
      <alignment horizontal="left" vertical="center" wrapText="1"/>
    </xf>
    <xf numFmtId="0" fontId="27" fillId="0" borderId="10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left" vertical="center" wrapText="1"/>
    </xf>
    <xf numFmtId="0" fontId="27" fillId="0" borderId="9" xfId="0" applyFont="1" applyBorder="1" applyAlignment="1">
      <alignment horizontal="left" vertical="center" wrapText="1"/>
    </xf>
    <xf numFmtId="0" fontId="31" fillId="26" borderId="0" xfId="1" applyFont="1" applyFill="1" applyAlignment="1">
      <alignment horizontal="center" vertical="center" wrapText="1"/>
    </xf>
    <xf numFmtId="0" fontId="15" fillId="26" borderId="6" xfId="1" applyFont="1" applyFill="1" applyBorder="1" applyAlignment="1">
      <alignment horizontal="center" vertical="center" textRotation="90"/>
    </xf>
    <xf numFmtId="0" fontId="15" fillId="26" borderId="1" xfId="1" applyFont="1" applyFill="1" applyBorder="1" applyAlignment="1">
      <alignment horizontal="center" vertical="center" textRotation="90"/>
    </xf>
    <xf numFmtId="0" fontId="15" fillId="26" borderId="2" xfId="1" applyFont="1" applyFill="1" applyBorder="1" applyAlignment="1">
      <alignment horizontal="center" vertical="center" textRotation="90"/>
    </xf>
    <xf numFmtId="0" fontId="6" fillId="8" borderId="7" xfId="1" applyFont="1" applyFill="1" applyBorder="1" applyAlignment="1">
      <alignment horizontal="center"/>
    </xf>
    <xf numFmtId="0" fontId="6" fillId="8" borderId="16" xfId="1" applyFont="1" applyFill="1" applyBorder="1" applyAlignment="1">
      <alignment horizontal="center"/>
    </xf>
    <xf numFmtId="0" fontId="6" fillId="8" borderId="8" xfId="1" applyFont="1" applyFill="1" applyBorder="1" applyAlignment="1">
      <alignment horizontal="center"/>
    </xf>
    <xf numFmtId="0" fontId="11" fillId="26" borderId="26" xfId="0" applyFont="1" applyFill="1" applyBorder="1" applyAlignment="1">
      <alignment horizontal="center" vertical="center" wrapText="1"/>
    </xf>
    <xf numFmtId="0" fontId="11" fillId="26" borderId="5" xfId="0" applyFont="1" applyFill="1" applyBorder="1" applyAlignment="1">
      <alignment horizontal="center" vertical="center" wrapText="1"/>
    </xf>
    <xf numFmtId="0" fontId="15" fillId="26" borderId="3" xfId="4" applyFont="1" applyFill="1" applyBorder="1" applyAlignment="1">
      <alignment horizontal="center" vertical="center" wrapText="1"/>
    </xf>
    <xf numFmtId="0" fontId="15" fillId="26" borderId="7" xfId="4" applyFont="1" applyFill="1" applyBorder="1" applyAlignment="1">
      <alignment horizontal="center" vertical="center" wrapText="1"/>
    </xf>
    <xf numFmtId="0" fontId="15" fillId="26" borderId="8" xfId="4" applyFont="1" applyFill="1" applyBorder="1" applyAlignment="1">
      <alignment horizontal="center" vertical="center" wrapText="1"/>
    </xf>
    <xf numFmtId="0" fontId="11" fillId="26" borderId="4" xfId="0" applyFont="1" applyFill="1" applyBorder="1" applyAlignment="1">
      <alignment horizontal="center" vertical="center" wrapText="1"/>
    </xf>
    <xf numFmtId="0" fontId="11" fillId="26" borderId="22" xfId="0" applyFont="1" applyFill="1" applyBorder="1" applyAlignment="1">
      <alignment horizontal="center" vertical="center" wrapText="1"/>
    </xf>
    <xf numFmtId="0" fontId="11" fillId="26" borderId="24" xfId="0" applyFont="1" applyFill="1" applyBorder="1" applyAlignment="1">
      <alignment horizontal="center" vertical="center" wrapText="1"/>
    </xf>
    <xf numFmtId="0" fontId="11" fillId="26" borderId="4" xfId="0" applyFont="1" applyFill="1" applyBorder="1" applyAlignment="1">
      <alignment horizontal="center" vertical="center"/>
    </xf>
    <xf numFmtId="0" fontId="11" fillId="26" borderId="5" xfId="0" applyFont="1" applyFill="1" applyBorder="1" applyAlignment="1">
      <alignment horizontal="center" vertical="center"/>
    </xf>
    <xf numFmtId="0" fontId="15" fillId="26" borderId="39" xfId="0" applyFont="1" applyFill="1" applyBorder="1" applyAlignment="1">
      <alignment horizontal="center" vertical="center"/>
    </xf>
    <xf numFmtId="0" fontId="15" fillId="26" borderId="40" xfId="0" applyFont="1" applyFill="1" applyBorder="1" applyAlignment="1">
      <alignment horizontal="center" vertical="center"/>
    </xf>
    <xf numFmtId="0" fontId="15" fillId="26" borderId="41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30" fillId="27" borderId="42" xfId="0" applyFont="1" applyFill="1" applyBorder="1" applyAlignment="1">
      <alignment horizontal="center" vertical="center"/>
    </xf>
    <xf numFmtId="0" fontId="30" fillId="27" borderId="46" xfId="0" applyFont="1" applyFill="1" applyBorder="1" applyAlignment="1">
      <alignment horizontal="center" vertical="center"/>
    </xf>
    <xf numFmtId="0" fontId="30" fillId="27" borderId="43" xfId="0" applyFont="1" applyFill="1" applyBorder="1" applyAlignment="1">
      <alignment horizontal="center" vertical="center" wrapText="1"/>
    </xf>
    <xf numFmtId="0" fontId="30" fillId="27" borderId="2" xfId="0" applyFont="1" applyFill="1" applyBorder="1" applyAlignment="1">
      <alignment horizontal="center" vertical="center" wrapText="1"/>
    </xf>
    <xf numFmtId="0" fontId="36" fillId="0" borderId="0" xfId="1" applyFont="1" applyAlignment="1">
      <alignment horizontal="center" vertical="center" wrapText="1"/>
    </xf>
  </cellXfs>
  <cellStyles count="8">
    <cellStyle name="Comma" xfId="2" builtinId="3"/>
    <cellStyle name="Millares 2" xfId="6" xr:uid="{00000000-0005-0000-0000-000001000000}"/>
    <cellStyle name="Normal" xfId="0" builtinId="0"/>
    <cellStyle name="Normal 2" xfId="1" xr:uid="{00000000-0005-0000-0000-000003000000}"/>
    <cellStyle name="Normal 3" xfId="7" xr:uid="{00000000-0005-0000-0000-000004000000}"/>
    <cellStyle name="Normal_criterios medicion saro" xfId="4" xr:uid="{00000000-0005-0000-0000-000005000000}"/>
    <cellStyle name="Normal_PROPUESTA METODOLOGICA JELGA 2" xfId="5" xr:uid="{00000000-0005-0000-0000-000006000000}"/>
    <cellStyle name="Percent" xfId="3" builtinId="5"/>
  </cellStyles>
  <dxfs count="192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30317A"/>
      <color rgb="FFFF66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501763</xdr:colOff>
      <xdr:row>7</xdr:row>
      <xdr:rowOff>218298</xdr:rowOff>
    </xdr:from>
    <xdr:to>
      <xdr:col>20</xdr:col>
      <xdr:colOff>108860</xdr:colOff>
      <xdr:row>13</xdr:row>
      <xdr:rowOff>91846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24364734" y="2698755"/>
          <a:ext cx="1506405" cy="981419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2503712</xdr:colOff>
      <xdr:row>2</xdr:row>
      <xdr:rowOff>54429</xdr:rowOff>
    </xdr:from>
    <xdr:to>
      <xdr:col>6</xdr:col>
      <xdr:colOff>1265462</xdr:colOff>
      <xdr:row>2</xdr:row>
      <xdr:rowOff>762000</xdr:rowOff>
    </xdr:to>
    <xdr:sp macro="[0]!Copiar_Datos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00748" y="571500"/>
          <a:ext cx="2109107" cy="70757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Registrar</a:t>
          </a:r>
          <a:r>
            <a:rPr lang="en-US" sz="1800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n-US" sz="1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836839</xdr:colOff>
      <xdr:row>2</xdr:row>
      <xdr:rowOff>54429</xdr:rowOff>
    </xdr:from>
    <xdr:to>
      <xdr:col>5</xdr:col>
      <xdr:colOff>2102303</xdr:colOff>
      <xdr:row>2</xdr:row>
      <xdr:rowOff>762000</xdr:rowOff>
    </xdr:to>
    <xdr:sp macro="[0]!Borrar_Datos" textlink="">
      <xdr:nvSpPr>
        <xdr:cNvPr id="8" name="Bisel 7" descr="Borra los datos que se han ingresado en la plantilla de Identificación y Valoración LAFT." title="Borrar Datos de esta Hoj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90232" y="571500"/>
          <a:ext cx="2109107" cy="70757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rial" panose="020B0604020202020204" pitchFamily="34" charset="0"/>
              <a:cs typeface="Arial" panose="020B0604020202020204" pitchFamily="34" charset="0"/>
            </a:rPr>
            <a:t>Borrar</a:t>
          </a:r>
          <a:r>
            <a:rPr lang="en-US" sz="2000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n-US" sz="2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231322</xdr:colOff>
      <xdr:row>2</xdr:row>
      <xdr:rowOff>54429</xdr:rowOff>
    </xdr:from>
    <xdr:to>
      <xdr:col>4</xdr:col>
      <xdr:colOff>435429</xdr:colOff>
      <xdr:row>2</xdr:row>
      <xdr:rowOff>762000</xdr:rowOff>
    </xdr:to>
    <xdr:sp macro="[0]!Inicializar_Datos" textlink="">
      <xdr:nvSpPr>
        <xdr:cNvPr id="12" name="Bise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12322" y="571500"/>
          <a:ext cx="2476500" cy="70757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rial" panose="020B0604020202020204" pitchFamily="34" charset="0"/>
              <a:cs typeface="Arial" panose="020B0604020202020204" pitchFamily="34" charset="0"/>
            </a:rPr>
            <a:t>Eliminar</a:t>
          </a:r>
          <a:r>
            <a:rPr lang="en-US" sz="2000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n-US" sz="2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59531</xdr:colOff>
      <xdr:row>0</xdr:row>
      <xdr:rowOff>71439</xdr:rowOff>
    </xdr:from>
    <xdr:to>
      <xdr:col>6</xdr:col>
      <xdr:colOff>1229743</xdr:colOff>
      <xdr:row>1</xdr:row>
      <xdr:rowOff>202407</xdr:rowOff>
    </xdr:to>
    <xdr:sp macro="[0]!Admin" textlink="">
      <xdr:nvSpPr>
        <xdr:cNvPr id="9" name="Bisel 8" descr="Borra los datos que se han ingresado en la plantilla de Identificación y Valoración LAFT." title="Borrar Datos de esta Hoj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36156" y="71439"/>
          <a:ext cx="4527775" cy="392906"/>
        </a:xfrm>
        <a:prstGeom prst="bevel">
          <a:avLst/>
        </a:prstGeom>
        <a:solidFill>
          <a:schemeClr val="bg2">
            <a:lumMod val="50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Arial" panose="020B0604020202020204" pitchFamily="34" charset="0"/>
              <a:cs typeface="Arial" panose="020B0604020202020204" pitchFamily="34" charset="0"/>
            </a:rPr>
            <a:t>Administrador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595313</xdr:colOff>
      <xdr:row>0</xdr:row>
      <xdr:rowOff>130969</xdr:rowOff>
    </xdr:from>
    <xdr:to>
      <xdr:col>4</xdr:col>
      <xdr:colOff>1238250</xdr:colOff>
      <xdr:row>2</xdr:row>
      <xdr:rowOff>213336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2458694-8C4D-4B8D-8876-01490EE7F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1" y="130969"/>
          <a:ext cx="2166937" cy="7014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123825</xdr:rowOff>
    </xdr:from>
    <xdr:to>
      <xdr:col>2</xdr:col>
      <xdr:colOff>438150</xdr:colOff>
      <xdr:row>0</xdr:row>
      <xdr:rowOff>879278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45622D7-0778-4520-93C4-EDFF28388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8325" y="123825"/>
          <a:ext cx="2333625" cy="7554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488156</xdr:colOff>
      <xdr:row>6</xdr:row>
      <xdr:rowOff>82226</xdr:rowOff>
    </xdr:from>
    <xdr:to>
      <xdr:col>20</xdr:col>
      <xdr:colOff>95253</xdr:colOff>
      <xdr:row>12</xdr:row>
      <xdr:rowOff>23809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28972113" y="1573444"/>
          <a:ext cx="1827533" cy="139779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/>
  </sheetPr>
  <dimension ref="A1:AJ37"/>
  <sheetViews>
    <sheetView showGridLines="0" showRowColHeaders="0" tabSelected="1" topLeftCell="A4" zoomScaleNormal="100" zoomScaleSheetLayoutView="50" zoomScalePageLayoutView="40" workbookViewId="0">
      <selection activeCell="H14" sqref="H14:N14"/>
    </sheetView>
  </sheetViews>
  <sheetFormatPr defaultColWidth="0" defaultRowHeight="15" zeroHeight="1" x14ac:dyDescent="0.2"/>
  <cols>
    <col min="1" max="2" width="5.5703125" style="1" customWidth="1"/>
    <col min="3" max="3" width="13.5703125" style="1" customWidth="1"/>
    <col min="4" max="4" width="14.5703125" style="1" customWidth="1"/>
    <col min="5" max="5" width="12.5703125" style="1" customWidth="1"/>
    <col min="6" max="6" width="50.42578125" style="1" customWidth="1"/>
    <col min="7" max="7" width="32" style="1" customWidth="1"/>
    <col min="8" max="8" width="22.5703125" style="1" customWidth="1"/>
    <col min="9" max="9" width="22.42578125" style="1" bestFit="1" customWidth="1"/>
    <col min="10" max="10" width="20.140625" style="1" bestFit="1" customWidth="1"/>
    <col min="11" max="11" width="12.85546875" style="1" customWidth="1"/>
    <col min="12" max="12" width="23.42578125" style="1" bestFit="1" customWidth="1"/>
    <col min="13" max="13" width="15.140625" style="1" customWidth="1"/>
    <col min="14" max="14" width="20.5703125" style="1" customWidth="1"/>
    <col min="15" max="15" width="21.5703125" style="1" bestFit="1" customWidth="1"/>
    <col min="16" max="16" width="20.5703125" style="1" bestFit="1" customWidth="1"/>
    <col min="17" max="17" width="16.5703125" style="1" customWidth="1"/>
    <col min="18" max="18" width="17.5703125" style="1" bestFit="1" customWidth="1"/>
    <col min="19" max="19" width="19.42578125" style="1" customWidth="1"/>
    <col min="20" max="20" width="20.5703125" style="1" customWidth="1"/>
    <col min="21" max="21" width="5.5703125" style="1" customWidth="1"/>
    <col min="22" max="24" width="25.5703125" style="1" customWidth="1"/>
    <col min="25" max="25" width="2.5703125" style="1" customWidth="1"/>
    <col min="26" max="28" width="30.5703125" style="1" customWidth="1"/>
    <col min="29" max="29" width="5.5703125" style="3" customWidth="1"/>
    <col min="30" max="16384" width="11.42578125" style="1" hidden="1"/>
  </cols>
  <sheetData>
    <row r="1" spans="1:29" ht="20.25" x14ac:dyDescent="0.3">
      <c r="A1" s="14" t="s">
        <v>104</v>
      </c>
      <c r="B1" s="14"/>
      <c r="C1" s="14"/>
      <c r="D1" s="15"/>
      <c r="E1" s="16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</row>
    <row r="2" spans="1:29" ht="20.25" x14ac:dyDescent="0.25">
      <c r="A2" s="205" t="s">
        <v>105</v>
      </c>
      <c r="B2" s="205"/>
      <c r="C2" s="205"/>
      <c r="D2" s="205"/>
      <c r="E2" s="18">
        <v>9</v>
      </c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65.25" customHeight="1" x14ac:dyDescent="0.25">
      <c r="A3" s="17"/>
      <c r="B3" s="17"/>
      <c r="C3" s="17"/>
      <c r="D3" s="17"/>
      <c r="E3" s="17"/>
      <c r="F3" s="17"/>
      <c r="G3" s="255" t="s">
        <v>152</v>
      </c>
      <c r="H3" s="256"/>
      <c r="I3" s="256"/>
      <c r="J3" s="256"/>
      <c r="K3" s="256"/>
      <c r="L3" s="256"/>
      <c r="M3" s="256"/>
      <c r="N3" s="256"/>
      <c r="O3" s="256"/>
      <c r="P3" s="256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</row>
    <row r="4" spans="1:29" ht="20.25" x14ac:dyDescent="0.3">
      <c r="A4" s="68" t="s">
        <v>279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</row>
    <row r="5" spans="1:29" ht="8.25" customHeight="1" thickBot="1" x14ac:dyDescent="0.3">
      <c r="A5" s="17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7"/>
      <c r="Z5" s="17"/>
      <c r="AA5" s="17"/>
      <c r="AB5" s="17"/>
      <c r="AC5" s="17"/>
    </row>
    <row r="6" spans="1:29" ht="24" customHeight="1" x14ac:dyDescent="0.25">
      <c r="A6" s="17"/>
      <c r="B6" s="20"/>
      <c r="C6" s="221" t="s">
        <v>17</v>
      </c>
      <c r="D6" s="222"/>
      <c r="E6" s="222"/>
      <c r="F6" s="223"/>
      <c r="G6" s="257" t="s">
        <v>59</v>
      </c>
      <c r="H6" s="262" t="s">
        <v>60</v>
      </c>
      <c r="I6" s="262"/>
      <c r="J6" s="262"/>
      <c r="K6" s="262"/>
      <c r="L6" s="262"/>
      <c r="M6" s="262"/>
      <c r="N6" s="262"/>
      <c r="O6" s="262" t="s">
        <v>67</v>
      </c>
      <c r="P6" s="262"/>
      <c r="Q6" s="257" t="s">
        <v>98</v>
      </c>
      <c r="R6" s="257"/>
      <c r="S6" s="257"/>
      <c r="T6" s="17"/>
      <c r="U6" s="21"/>
      <c r="V6" s="259" t="s">
        <v>57</v>
      </c>
      <c r="W6" s="260"/>
      <c r="X6" s="261"/>
      <c r="Y6" s="17"/>
      <c r="Z6" s="17"/>
      <c r="AA6" s="17"/>
      <c r="AB6" s="17"/>
      <c r="AC6" s="17"/>
    </row>
    <row r="7" spans="1:29" ht="15.75" customHeight="1" x14ac:dyDescent="0.25">
      <c r="A7" s="17"/>
      <c r="B7" s="20"/>
      <c r="C7" s="206"/>
      <c r="D7" s="207"/>
      <c r="E7" s="207"/>
      <c r="F7" s="208"/>
      <c r="G7" s="258"/>
      <c r="H7" s="263"/>
      <c r="I7" s="263"/>
      <c r="J7" s="263"/>
      <c r="K7" s="263"/>
      <c r="L7" s="263"/>
      <c r="M7" s="263"/>
      <c r="N7" s="263"/>
      <c r="O7" s="263"/>
      <c r="P7" s="263"/>
      <c r="Q7" s="257"/>
      <c r="R7" s="258"/>
      <c r="S7" s="258"/>
      <c r="T7" s="17"/>
      <c r="U7" s="21"/>
      <c r="V7" s="22" t="s">
        <v>1</v>
      </c>
      <c r="W7" s="23" t="s">
        <v>9</v>
      </c>
      <c r="X7" s="24" t="s">
        <v>2</v>
      </c>
      <c r="Y7" s="17"/>
      <c r="Z7" s="17"/>
      <c r="AA7" s="17"/>
      <c r="AB7" s="17"/>
      <c r="AC7" s="17"/>
    </row>
    <row r="8" spans="1:29" ht="21" customHeight="1" x14ac:dyDescent="0.25">
      <c r="A8" s="17"/>
      <c r="B8" s="17"/>
      <c r="C8" s="224"/>
      <c r="D8" s="225"/>
      <c r="E8" s="225"/>
      <c r="F8" s="226"/>
      <c r="G8" s="225" t="s">
        <v>216</v>
      </c>
      <c r="H8" s="272"/>
      <c r="I8" s="273"/>
      <c r="J8" s="273"/>
      <c r="K8" s="273"/>
      <c r="L8" s="273"/>
      <c r="M8" s="273"/>
      <c r="N8" s="274"/>
      <c r="O8" s="209"/>
      <c r="P8" s="211"/>
      <c r="Q8" s="25">
        <v>1</v>
      </c>
      <c r="R8" s="270"/>
      <c r="S8" s="271"/>
      <c r="T8" s="17"/>
      <c r="U8" s="26"/>
      <c r="V8" s="27"/>
      <c r="W8" s="28"/>
      <c r="X8" s="29" t="str">
        <f>IF((V8*W8)=0,"",V8*W8)</f>
        <v/>
      </c>
      <c r="Y8" s="17"/>
      <c r="Z8" s="17"/>
      <c r="AA8" s="20"/>
      <c r="AB8" s="17"/>
      <c r="AC8" s="17"/>
    </row>
    <row r="9" spans="1:29" ht="21" customHeight="1" x14ac:dyDescent="0.25">
      <c r="A9" s="17"/>
      <c r="B9" s="17"/>
      <c r="C9" s="227"/>
      <c r="D9" s="228"/>
      <c r="E9" s="228"/>
      <c r="F9" s="229"/>
      <c r="G9" s="252"/>
      <c r="H9" s="230"/>
      <c r="I9" s="231"/>
      <c r="J9" s="231"/>
      <c r="K9" s="231"/>
      <c r="L9" s="231"/>
      <c r="M9" s="231"/>
      <c r="N9" s="232"/>
      <c r="O9" s="212"/>
      <c r="P9" s="214"/>
      <c r="Q9" s="30">
        <v>2</v>
      </c>
      <c r="R9" s="275"/>
      <c r="S9" s="275"/>
      <c r="T9" s="17"/>
      <c r="U9" s="26"/>
      <c r="V9" s="264" t="str">
        <f>IFERROR(VLOOKUP(V8,Probabilidad,2,0),"")</f>
        <v/>
      </c>
      <c r="W9" s="266" t="str">
        <f>IFERROR(VLOOKUP(W8,Impacto,2,0),"")</f>
        <v/>
      </c>
      <c r="X9" s="268" t="str">
        <f>IFERROR(LOOKUP(X8,NivelRiesgo),"")</f>
        <v/>
      </c>
      <c r="Y9" s="17"/>
      <c r="Z9" s="17"/>
      <c r="AA9" s="20"/>
      <c r="AB9" s="17"/>
      <c r="AC9" s="17"/>
    </row>
    <row r="10" spans="1:29" ht="21" customHeight="1" thickBot="1" x14ac:dyDescent="0.3">
      <c r="A10" s="17"/>
      <c r="B10" s="17"/>
      <c r="C10" s="206" t="s">
        <v>55</v>
      </c>
      <c r="D10" s="207"/>
      <c r="E10" s="207"/>
      <c r="F10" s="207"/>
      <c r="G10" s="253"/>
      <c r="H10" s="233"/>
      <c r="I10" s="234"/>
      <c r="J10" s="234"/>
      <c r="K10" s="234"/>
      <c r="L10" s="234"/>
      <c r="M10" s="234"/>
      <c r="N10" s="235"/>
      <c r="O10" s="212"/>
      <c r="P10" s="214"/>
      <c r="Q10" s="30">
        <v>3</v>
      </c>
      <c r="R10" s="276"/>
      <c r="S10" s="276"/>
      <c r="T10" s="17"/>
      <c r="U10" s="21"/>
      <c r="V10" s="265"/>
      <c r="W10" s="267"/>
      <c r="X10" s="269"/>
      <c r="Y10" s="17"/>
      <c r="Z10" s="17"/>
      <c r="AA10" s="31"/>
      <c r="AB10" s="17"/>
      <c r="AC10" s="17"/>
    </row>
    <row r="11" spans="1:29" ht="21" customHeight="1" thickBot="1" x14ac:dyDescent="0.3">
      <c r="A11" s="17"/>
      <c r="B11" s="17"/>
      <c r="C11" s="209"/>
      <c r="D11" s="210"/>
      <c r="E11" s="210"/>
      <c r="F11" s="211"/>
      <c r="G11" s="253"/>
      <c r="H11" s="233"/>
      <c r="I11" s="234"/>
      <c r="J11" s="234"/>
      <c r="K11" s="234"/>
      <c r="L11" s="234"/>
      <c r="M11" s="234"/>
      <c r="N11" s="235"/>
      <c r="O11" s="212"/>
      <c r="P11" s="214"/>
      <c r="Q11" s="32">
        <v>4</v>
      </c>
      <c r="R11" s="276"/>
      <c r="S11" s="277"/>
      <c r="T11" s="17"/>
      <c r="U11" s="21"/>
      <c r="V11" s="17"/>
      <c r="W11" s="17"/>
      <c r="X11" s="17"/>
      <c r="Y11" s="17"/>
      <c r="Z11" s="17"/>
      <c r="AA11" s="31"/>
      <c r="AB11" s="17"/>
      <c r="AC11" s="17"/>
    </row>
    <row r="12" spans="1:29" ht="21" customHeight="1" x14ac:dyDescent="0.25">
      <c r="A12" s="17"/>
      <c r="B12" s="17"/>
      <c r="C12" s="215"/>
      <c r="D12" s="216"/>
      <c r="E12" s="216"/>
      <c r="F12" s="217"/>
      <c r="G12" s="253"/>
      <c r="H12" s="233"/>
      <c r="I12" s="234"/>
      <c r="J12" s="234"/>
      <c r="K12" s="234"/>
      <c r="L12" s="234"/>
      <c r="M12" s="234"/>
      <c r="N12" s="235"/>
      <c r="O12" s="212"/>
      <c r="P12" s="214"/>
      <c r="Q12" s="250" t="s">
        <v>97</v>
      </c>
      <c r="R12" s="222"/>
      <c r="S12" s="223"/>
      <c r="T12" s="17"/>
      <c r="U12" s="26"/>
      <c r="V12" s="259" t="s">
        <v>58</v>
      </c>
      <c r="W12" s="260"/>
      <c r="X12" s="261"/>
      <c r="Y12" s="17"/>
      <c r="Z12" s="17"/>
      <c r="AA12" s="17"/>
      <c r="AB12" s="17"/>
      <c r="AC12" s="17"/>
    </row>
    <row r="13" spans="1:29" ht="21" customHeight="1" x14ac:dyDescent="0.25">
      <c r="A13" s="17"/>
      <c r="B13" s="17"/>
      <c r="C13" s="206" t="s">
        <v>38</v>
      </c>
      <c r="D13" s="207"/>
      <c r="E13" s="208"/>
      <c r="F13" s="69" t="s">
        <v>40</v>
      </c>
      <c r="G13" s="253"/>
      <c r="H13" s="233"/>
      <c r="I13" s="234"/>
      <c r="J13" s="234"/>
      <c r="K13" s="234"/>
      <c r="L13" s="234"/>
      <c r="M13" s="234"/>
      <c r="N13" s="235"/>
      <c r="O13" s="212"/>
      <c r="P13" s="214"/>
      <c r="Q13" s="33">
        <v>1</v>
      </c>
      <c r="R13" s="270"/>
      <c r="S13" s="271"/>
      <c r="T13" s="17"/>
      <c r="U13" s="26"/>
      <c r="V13" s="22" t="s">
        <v>1</v>
      </c>
      <c r="W13" s="23" t="s">
        <v>9</v>
      </c>
      <c r="X13" s="34" t="s">
        <v>78</v>
      </c>
      <c r="Y13" s="17"/>
      <c r="Z13" s="17"/>
      <c r="AA13" s="17"/>
      <c r="AB13" s="17"/>
      <c r="AC13" s="17"/>
    </row>
    <row r="14" spans="1:29" ht="21" customHeight="1" x14ac:dyDescent="0.25">
      <c r="A14" s="17"/>
      <c r="B14" s="17"/>
      <c r="C14" s="209"/>
      <c r="D14" s="210"/>
      <c r="E14" s="211"/>
      <c r="F14" s="218" t="str">
        <f>IFERROR(E2&amp;"-"&amp;VLOOKUP(C8,ProcesosCOD,2,FALSE),"")</f>
        <v/>
      </c>
      <c r="G14" s="253"/>
      <c r="H14" s="222" t="s">
        <v>61</v>
      </c>
      <c r="I14" s="222"/>
      <c r="J14" s="222"/>
      <c r="K14" s="222"/>
      <c r="L14" s="222"/>
      <c r="M14" s="222"/>
      <c r="N14" s="222"/>
      <c r="O14" s="212"/>
      <c r="P14" s="214"/>
      <c r="Q14" s="35">
        <v>2</v>
      </c>
      <c r="R14" s="275"/>
      <c r="S14" s="275"/>
      <c r="T14" s="17"/>
      <c r="U14" s="26"/>
      <c r="V14" s="36" t="str">
        <f>IFERROR(IF(ROUND(V8-(EfectividadPrev/100*V8),0)=0,1,ROUND(V8-(EfectividadPrev/100*V8),0)),IF(V8="","",V8))</f>
        <v/>
      </c>
      <c r="W14" s="37" t="str">
        <f>IFERROR(IF(ROUND(W8-(EfectividadDetec/100*W8),0)=0,1,ROUND(W8-(EfectividadDetec/100*W8),0)),IF(W8="","",W8))</f>
        <v/>
      </c>
      <c r="X14" s="29" t="str">
        <f>IFERROR(IF((V14*W14)=0,"",V14*W14),"")</f>
        <v/>
      </c>
      <c r="Y14" s="17"/>
      <c r="Z14" s="17"/>
      <c r="AA14" s="17"/>
      <c r="AB14" s="17"/>
      <c r="AC14" s="17"/>
    </row>
    <row r="15" spans="1:29" ht="21" customHeight="1" x14ac:dyDescent="0.25">
      <c r="A15" s="17"/>
      <c r="B15" s="17"/>
      <c r="C15" s="212"/>
      <c r="D15" s="213"/>
      <c r="E15" s="214"/>
      <c r="F15" s="219"/>
      <c r="G15" s="253"/>
      <c r="H15" s="236"/>
      <c r="I15" s="236"/>
      <c r="J15" s="236"/>
      <c r="K15" s="236"/>
      <c r="L15" s="236"/>
      <c r="M15" s="236"/>
      <c r="N15" s="236"/>
      <c r="O15" s="212"/>
      <c r="P15" s="214"/>
      <c r="Q15" s="35">
        <v>3</v>
      </c>
      <c r="R15" s="276"/>
      <c r="S15" s="276"/>
      <c r="T15" s="17"/>
      <c r="U15" s="26"/>
      <c r="V15" s="264" t="str">
        <f>IFERROR(VLOOKUP(V14,Probabilidad,2,0),"")</f>
        <v/>
      </c>
      <c r="W15" s="266" t="str">
        <f>IFERROR(VLOOKUP(W14,Impacto,2,0),"")</f>
        <v/>
      </c>
      <c r="X15" s="268" t="str">
        <f>IFERROR(LOOKUP(X14,NivelRiesgo),"")</f>
        <v/>
      </c>
      <c r="Y15" s="17"/>
      <c r="Z15" s="17"/>
      <c r="AA15" s="17"/>
      <c r="AB15" s="17"/>
      <c r="AC15" s="17"/>
    </row>
    <row r="16" spans="1:29" ht="21" customHeight="1" thickBot="1" x14ac:dyDescent="0.3">
      <c r="A16" s="17"/>
      <c r="B16" s="17"/>
      <c r="C16" s="215"/>
      <c r="D16" s="216"/>
      <c r="E16" s="217"/>
      <c r="F16" s="220"/>
      <c r="G16" s="254"/>
      <c r="H16" s="236"/>
      <c r="I16" s="236"/>
      <c r="J16" s="236"/>
      <c r="K16" s="236"/>
      <c r="L16" s="236"/>
      <c r="M16" s="236"/>
      <c r="N16" s="236"/>
      <c r="O16" s="215"/>
      <c r="P16" s="217"/>
      <c r="Q16" s="38">
        <v>4</v>
      </c>
      <c r="R16" s="276"/>
      <c r="S16" s="276"/>
      <c r="T16" s="17"/>
      <c r="U16" s="26"/>
      <c r="V16" s="265"/>
      <c r="W16" s="267"/>
      <c r="X16" s="269"/>
      <c r="Y16" s="17"/>
      <c r="Z16" s="17"/>
      <c r="AA16" s="17"/>
      <c r="AB16" s="17"/>
      <c r="AC16" s="17"/>
    </row>
    <row r="17" spans="1:36" ht="21" customHeight="1" x14ac:dyDescent="0.25">
      <c r="A17" s="17"/>
      <c r="B17" s="17"/>
      <c r="C17" s="17"/>
      <c r="D17" s="17"/>
      <c r="E17" s="17"/>
      <c r="F17" s="17"/>
      <c r="G17" s="39"/>
      <c r="H17" s="26"/>
      <c r="I17" s="26"/>
      <c r="J17" s="26"/>
      <c r="K17" s="26"/>
      <c r="L17" s="26"/>
      <c r="M17" s="26"/>
      <c r="N17" s="26"/>
      <c r="O17" s="40"/>
      <c r="P17" s="40"/>
      <c r="Q17" s="41"/>
      <c r="R17" s="41"/>
      <c r="S17" s="41"/>
      <c r="T17" s="17"/>
      <c r="U17" s="26"/>
      <c r="V17" s="42"/>
      <c r="W17" s="42"/>
      <c r="X17" s="42"/>
      <c r="Y17" s="17"/>
      <c r="Z17" s="17"/>
      <c r="AA17" s="17"/>
      <c r="AB17" s="17"/>
      <c r="AC17" s="17"/>
    </row>
    <row r="18" spans="1:36" ht="15.75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</row>
    <row r="19" spans="1:36" ht="20.25" x14ac:dyDescent="0.3">
      <c r="A19" s="70"/>
      <c r="B19" s="245" t="s">
        <v>22</v>
      </c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  <c r="U19" s="245"/>
      <c r="V19" s="245"/>
      <c r="W19" s="245"/>
      <c r="X19" s="245"/>
      <c r="Y19" s="70"/>
      <c r="Z19" s="70"/>
      <c r="AA19" s="70"/>
      <c r="AB19" s="70"/>
      <c r="AC19" s="70"/>
    </row>
    <row r="20" spans="1:36" ht="4.5" customHeight="1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</row>
    <row r="21" spans="1:36" s="2" customFormat="1" ht="19.5" customHeight="1" x14ac:dyDescent="0.25">
      <c r="A21" s="42"/>
      <c r="B21" s="238" t="s">
        <v>14</v>
      </c>
      <c r="C21" s="239"/>
      <c r="D21" s="239"/>
      <c r="E21" s="239"/>
      <c r="F21" s="239"/>
      <c r="G21" s="239"/>
      <c r="H21" s="239"/>
      <c r="I21" s="239"/>
      <c r="J21" s="239"/>
      <c r="K21" s="240"/>
      <c r="L21" s="243" t="s">
        <v>18</v>
      </c>
      <c r="M21" s="243"/>
      <c r="N21" s="243"/>
      <c r="O21" s="243"/>
      <c r="P21" s="244" t="s">
        <v>21</v>
      </c>
      <c r="Q21" s="244"/>
      <c r="R21" s="244"/>
      <c r="S21" s="244"/>
      <c r="T21" s="244"/>
      <c r="U21" s="42"/>
      <c r="V21" s="249" t="s">
        <v>79</v>
      </c>
      <c r="W21" s="250"/>
      <c r="X21" s="251"/>
      <c r="Y21" s="42"/>
      <c r="Z21" s="249" t="s">
        <v>77</v>
      </c>
      <c r="AA21" s="250"/>
      <c r="AB21" s="251"/>
      <c r="AC21" s="42"/>
    </row>
    <row r="22" spans="1:36" ht="47.1" customHeight="1" x14ac:dyDescent="0.25">
      <c r="A22" s="17"/>
      <c r="B22" s="43" t="s">
        <v>0</v>
      </c>
      <c r="C22" s="241" t="s">
        <v>273</v>
      </c>
      <c r="D22" s="242"/>
      <c r="E22" s="242"/>
      <c r="F22" s="44" t="s">
        <v>274</v>
      </c>
      <c r="G22" s="45" t="s">
        <v>275</v>
      </c>
      <c r="H22" s="45" t="s">
        <v>276</v>
      </c>
      <c r="I22" s="46" t="s">
        <v>277</v>
      </c>
      <c r="J22" s="45" t="s">
        <v>278</v>
      </c>
      <c r="K22" s="45" t="s">
        <v>23</v>
      </c>
      <c r="L22" s="47" t="s">
        <v>27</v>
      </c>
      <c r="M22" s="47" t="s">
        <v>24</v>
      </c>
      <c r="N22" s="47" t="s">
        <v>26</v>
      </c>
      <c r="O22" s="47" t="s">
        <v>28</v>
      </c>
      <c r="P22" s="48" t="s">
        <v>19</v>
      </c>
      <c r="Q22" s="49" t="s">
        <v>25</v>
      </c>
      <c r="R22" s="49" t="s">
        <v>30</v>
      </c>
      <c r="S22" s="49" t="s">
        <v>20</v>
      </c>
      <c r="T22" s="49" t="s">
        <v>29</v>
      </c>
      <c r="U22" s="42"/>
      <c r="V22" s="50" t="s">
        <v>18</v>
      </c>
      <c r="W22" s="51" t="s">
        <v>21</v>
      </c>
      <c r="X22" s="52" t="s">
        <v>12</v>
      </c>
      <c r="Y22" s="17"/>
      <c r="Z22" s="51" t="s">
        <v>100</v>
      </c>
      <c r="AA22" s="53" t="s">
        <v>101</v>
      </c>
      <c r="AB22" s="54" t="s">
        <v>102</v>
      </c>
      <c r="AC22" s="55"/>
      <c r="AD22"/>
      <c r="AE22"/>
      <c r="AF22"/>
      <c r="AG22"/>
      <c r="AH22"/>
      <c r="AI22"/>
      <c r="AJ22"/>
    </row>
    <row r="23" spans="1:36" ht="35.1" customHeight="1" x14ac:dyDescent="0.25">
      <c r="A23" s="17"/>
      <c r="B23" s="43">
        <v>1</v>
      </c>
      <c r="C23" s="246"/>
      <c r="D23" s="247"/>
      <c r="E23" s="248"/>
      <c r="F23" s="56"/>
      <c r="G23" s="57"/>
      <c r="H23" s="58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42"/>
      <c r="V23" s="59" t="str">
        <f>IF(G23="Totalmente Implementado",IFERROR(VLOOKUP(L23,Alcance,2,0)*VLOOKUP(M23,Objetivo,2,0)*VLOOKUP(N23,Economico,2,0)*VLOOKUP(O23,Comprensible,2,0),""),"")</f>
        <v/>
      </c>
      <c r="W23" s="60" t="str">
        <f>IF(G23="Totalmente Implementado",IFERROR(VLOOKUP(P23,Documentado,2,0)+VLOOKUP(Q23,Conforme,2,0)+VLOOKUP(R23,Indicadores,2,0)+VLOOKUP(S23,Frecuencia,2,0)+VLOOKUP(T23,Responsables,2,0),""),"")</f>
        <v/>
      </c>
      <c r="X23" s="61" t="str">
        <f>IFERROR(V23*(1-W23),"")</f>
        <v/>
      </c>
      <c r="Y23" s="17"/>
      <c r="Z23" s="62" t="str">
        <f>IFERROR(SUMIFS(X23:X27,Implementacion,"Totalmente Implementado",TipoControl,"Preventivo")/COUNTIFS(TipoControl,"Preventivo",Implementacion,"Totalmente Implementado"),"")</f>
        <v/>
      </c>
      <c r="AA23" s="63" t="str">
        <f>IFERROR(SUMIFS(X23:X27,Implementacion,"Totalmente Implementado",TipoControl,"Detectivo")/COUNTIFS(TipoControl,"Detectivo",Implementacion,"Totalmente Implementado"),"")</f>
        <v/>
      </c>
      <c r="AB23" s="64" t="str">
        <f>IFERROR(AVERAGE(X23:X27),"")</f>
        <v/>
      </c>
      <c r="AC23" s="17"/>
    </row>
    <row r="24" spans="1:36" ht="35.1" customHeight="1" x14ac:dyDescent="0.25">
      <c r="A24" s="17"/>
      <c r="B24" s="43">
        <v>2</v>
      </c>
      <c r="C24" s="246"/>
      <c r="D24" s="247"/>
      <c r="E24" s="248"/>
      <c r="F24" s="56"/>
      <c r="G24" s="57"/>
      <c r="H24" s="65"/>
      <c r="I24" s="28"/>
      <c r="J24" s="28"/>
      <c r="K24" s="28"/>
      <c r="L24" s="57"/>
      <c r="M24" s="57"/>
      <c r="N24" s="66"/>
      <c r="O24" s="66"/>
      <c r="P24" s="66"/>
      <c r="Q24" s="66"/>
      <c r="R24" s="66"/>
      <c r="S24" s="66"/>
      <c r="T24" s="66"/>
      <c r="U24" s="42"/>
      <c r="V24" s="59" t="str">
        <f>IF(G24="Totalmente Implementado",IFERROR(VLOOKUP(L24,Alcance,2,0)*VLOOKUP(M24,Objetivo,2,0)*VLOOKUP(N24,Economico,2,0)*VLOOKUP(O24,Comprensible,2,0),""),"")</f>
        <v/>
      </c>
      <c r="W24" s="60" t="str">
        <f>IF(G24="Totalmente Implementado",IFERROR(VLOOKUP(P24,Documentado,2,0)+VLOOKUP(Q24,Conforme,2,0)+VLOOKUP(R24,Indicadores,2,0)+VLOOKUP(S24,Frecuencia,2,0)+VLOOKUP(T24,Responsables,2,0),""),"")</f>
        <v/>
      </c>
      <c r="X24" s="61" t="str">
        <f>IFERROR(V24*(1-W24),"")</f>
        <v/>
      </c>
      <c r="Y24" s="17"/>
      <c r="Z24" s="17"/>
      <c r="AA24" s="17"/>
      <c r="AB24" s="17"/>
      <c r="AC24" s="17"/>
    </row>
    <row r="25" spans="1:36" ht="35.1" customHeight="1" x14ac:dyDescent="0.25">
      <c r="A25" s="17"/>
      <c r="B25" s="43">
        <v>3</v>
      </c>
      <c r="C25" s="237"/>
      <c r="D25" s="237"/>
      <c r="E25" s="237"/>
      <c r="F25" s="67"/>
      <c r="G25" s="57"/>
      <c r="H25" s="65"/>
      <c r="I25" s="28"/>
      <c r="J25" s="28"/>
      <c r="K25" s="28"/>
      <c r="L25" s="57"/>
      <c r="M25" s="57"/>
      <c r="N25" s="66"/>
      <c r="O25" s="66"/>
      <c r="P25" s="66"/>
      <c r="Q25" s="66"/>
      <c r="R25" s="66"/>
      <c r="S25" s="66"/>
      <c r="T25" s="66"/>
      <c r="U25" s="42"/>
      <c r="V25" s="59" t="str">
        <f>IF(G25="Totalmente Implementado",IFERROR(VLOOKUP(L25,Alcance,2,0)*VLOOKUP(M25,Objetivo,2,0)*VLOOKUP(N25,Economico,2,0)*VLOOKUP(O25,Comprensible,2,0),""),"")</f>
        <v/>
      </c>
      <c r="W25" s="60" t="str">
        <f>IF(G25="Totalmente Implementado",IFERROR(VLOOKUP(P25,Documentado,2,0)+VLOOKUP(Q25,Conforme,2,0)+VLOOKUP(R25,Indicadores,2,0)+VLOOKUP(S25,Frecuencia,2,0)+VLOOKUP(T25,Responsables,2,0),""),"")</f>
        <v/>
      </c>
      <c r="X25" s="61" t="str">
        <f t="shared" ref="X25:X27" si="0">IFERROR(V25*(1-W25),"")</f>
        <v/>
      </c>
      <c r="Y25" s="17"/>
      <c r="Z25" s="17"/>
      <c r="AA25" s="17"/>
      <c r="AB25" s="17"/>
      <c r="AC25" s="17"/>
    </row>
    <row r="26" spans="1:36" ht="35.1" customHeight="1" x14ac:dyDescent="0.25">
      <c r="A26" s="17"/>
      <c r="B26" s="43">
        <v>4</v>
      </c>
      <c r="C26" s="237"/>
      <c r="D26" s="237"/>
      <c r="E26" s="237"/>
      <c r="F26" s="67"/>
      <c r="G26" s="57"/>
      <c r="H26" s="65"/>
      <c r="I26" s="28"/>
      <c r="J26" s="28"/>
      <c r="K26" s="28"/>
      <c r="L26" s="57"/>
      <c r="M26" s="57"/>
      <c r="N26" s="66"/>
      <c r="O26" s="66"/>
      <c r="P26" s="66"/>
      <c r="Q26" s="66"/>
      <c r="R26" s="66"/>
      <c r="S26" s="66"/>
      <c r="T26" s="66"/>
      <c r="U26" s="42"/>
      <c r="V26" s="59" t="str">
        <f>IF(G26="Totalmente Implementado",IFERROR(VLOOKUP(L26,Alcance,2,0)*VLOOKUP(M26,Objetivo,2,0)*VLOOKUP(N26,Economico,2,0)*VLOOKUP(O26,Comprensible,2,0),""),"")</f>
        <v/>
      </c>
      <c r="W26" s="60" t="str">
        <f>IF(G26="Totalmente Implementado",IFERROR(VLOOKUP(P26,Documentado,2,0)+VLOOKUP(Q26,Conforme,2,0)+VLOOKUP(R26,Indicadores,2,0)+VLOOKUP(S26,Frecuencia,2,0)+VLOOKUP(T26,Responsables,2,0),""),"")</f>
        <v/>
      </c>
      <c r="X26" s="61" t="str">
        <f t="shared" si="0"/>
        <v/>
      </c>
      <c r="Y26" s="17"/>
      <c r="Z26" s="41"/>
      <c r="AA26" s="17"/>
      <c r="AB26" s="17"/>
      <c r="AC26" s="17"/>
    </row>
    <row r="27" spans="1:36" ht="35.1" customHeight="1" x14ac:dyDescent="0.25">
      <c r="A27" s="17"/>
      <c r="B27" s="43">
        <v>5</v>
      </c>
      <c r="C27" s="237"/>
      <c r="D27" s="237"/>
      <c r="E27" s="237"/>
      <c r="F27" s="67"/>
      <c r="G27" s="57"/>
      <c r="H27" s="65"/>
      <c r="I27" s="28"/>
      <c r="J27" s="28"/>
      <c r="K27" s="28"/>
      <c r="L27" s="57"/>
      <c r="M27" s="57"/>
      <c r="N27" s="66"/>
      <c r="O27" s="66"/>
      <c r="P27" s="66"/>
      <c r="Q27" s="66"/>
      <c r="R27" s="28"/>
      <c r="S27" s="28"/>
      <c r="T27" s="28"/>
      <c r="U27" s="42"/>
      <c r="V27" s="59" t="str">
        <f>IF(G27="Totalmente Implementado",IFERROR(VLOOKUP(L27,Alcance,2,0)*VLOOKUP(M27,Objetivo,2,0)*VLOOKUP(N27,Economico,2,0)*VLOOKUP(O27,Comprensible,2,0),""),"")</f>
        <v/>
      </c>
      <c r="W27" s="60" t="str">
        <f>IF(G27="Totalmente Implementado",IFERROR(VLOOKUP(P27,Documentado,2,0)+VLOOKUP(Q27,Conforme,2,0)+VLOOKUP(R27,Indicadores,2,0)+VLOOKUP(S27,Frecuencia,2,0)+VLOOKUP(T27,Responsables,2,0),""),"")</f>
        <v/>
      </c>
      <c r="X27" s="61" t="str">
        <f t="shared" si="0"/>
        <v/>
      </c>
      <c r="Y27" s="17"/>
      <c r="Z27" s="41"/>
      <c r="AA27" s="17"/>
      <c r="AB27" s="17"/>
      <c r="AC27" s="17"/>
    </row>
    <row r="28" spans="1:36" ht="36" customHeight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5"/>
      <c r="V28" s="3"/>
      <c r="W28" s="3"/>
      <c r="X28" s="3"/>
      <c r="Y28" s="3"/>
      <c r="Z28" s="3"/>
      <c r="AA28" s="3"/>
      <c r="AB28" s="3"/>
    </row>
    <row r="29" spans="1:36" ht="15.75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4"/>
      <c r="U29" s="4"/>
      <c r="V29" s="3"/>
      <c r="W29" s="3"/>
      <c r="X29" s="3"/>
      <c r="Y29" s="3"/>
      <c r="Z29" s="3"/>
      <c r="AA29" s="3"/>
      <c r="AB29" s="3"/>
    </row>
    <row r="30" spans="1:36" ht="36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4"/>
      <c r="U30" s="4"/>
      <c r="V30" s="3"/>
      <c r="W30" s="3"/>
      <c r="X30" s="3"/>
      <c r="Y30" s="3"/>
      <c r="Z30" s="3"/>
      <c r="AA30" s="3"/>
      <c r="AB30" s="3"/>
    </row>
    <row r="31" spans="1:36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spans="1:36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1:28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spans="1:28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spans="1:28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spans="1:28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</sheetData>
  <mergeCells count="53">
    <mergeCell ref="Z21:AB21"/>
    <mergeCell ref="V12:X12"/>
    <mergeCell ref="R9:S9"/>
    <mergeCell ref="R10:S10"/>
    <mergeCell ref="R11:S11"/>
    <mergeCell ref="R14:S14"/>
    <mergeCell ref="R15:S15"/>
    <mergeCell ref="R16:S16"/>
    <mergeCell ref="Q12:S12"/>
    <mergeCell ref="W9:W10"/>
    <mergeCell ref="X9:X10"/>
    <mergeCell ref="R13:S13"/>
    <mergeCell ref="G8:G16"/>
    <mergeCell ref="C10:F10"/>
    <mergeCell ref="G3:P3"/>
    <mergeCell ref="G6:G7"/>
    <mergeCell ref="V6:X6"/>
    <mergeCell ref="O6:P7"/>
    <mergeCell ref="Q6:S7"/>
    <mergeCell ref="H6:N7"/>
    <mergeCell ref="H16:N16"/>
    <mergeCell ref="V15:V16"/>
    <mergeCell ref="W15:W16"/>
    <mergeCell ref="X15:X16"/>
    <mergeCell ref="V9:V10"/>
    <mergeCell ref="O8:P16"/>
    <mergeCell ref="R8:S8"/>
    <mergeCell ref="H8:N8"/>
    <mergeCell ref="L21:O21"/>
    <mergeCell ref="P21:T21"/>
    <mergeCell ref="B19:X19"/>
    <mergeCell ref="C23:E23"/>
    <mergeCell ref="C24:E24"/>
    <mergeCell ref="V21:X21"/>
    <mergeCell ref="C25:E25"/>
    <mergeCell ref="C26:E26"/>
    <mergeCell ref="C27:E27"/>
    <mergeCell ref="B21:K21"/>
    <mergeCell ref="C22:E22"/>
    <mergeCell ref="H9:N9"/>
    <mergeCell ref="H10:N10"/>
    <mergeCell ref="H14:N14"/>
    <mergeCell ref="H15:N15"/>
    <mergeCell ref="H11:N11"/>
    <mergeCell ref="H12:N12"/>
    <mergeCell ref="H13:N13"/>
    <mergeCell ref="A2:D2"/>
    <mergeCell ref="C13:E13"/>
    <mergeCell ref="C14:E16"/>
    <mergeCell ref="F14:F16"/>
    <mergeCell ref="C6:F7"/>
    <mergeCell ref="C8:F9"/>
    <mergeCell ref="C11:F12"/>
  </mergeCells>
  <conditionalFormatting sqref="C23:E23">
    <cfRule type="expression" dxfId="191" priority="61">
      <formula>ISBLANK(C23)</formula>
    </cfRule>
  </conditionalFormatting>
  <conditionalFormatting sqref="F23">
    <cfRule type="expression" dxfId="190" priority="60">
      <formula>ISBLANK(F23)</formula>
    </cfRule>
  </conditionalFormatting>
  <conditionalFormatting sqref="G23:T23">
    <cfRule type="expression" dxfId="189" priority="59">
      <formula>ISBLANK(G23)</formula>
    </cfRule>
  </conditionalFormatting>
  <conditionalFormatting sqref="G8">
    <cfRule type="expression" dxfId="188" priority="58">
      <formula>ISBLANK(G8)</formula>
    </cfRule>
  </conditionalFormatting>
  <conditionalFormatting sqref="C8">
    <cfRule type="expression" dxfId="187" priority="57">
      <formula>ISBLANK(C8)</formula>
    </cfRule>
  </conditionalFormatting>
  <conditionalFormatting sqref="C11">
    <cfRule type="expression" dxfId="186" priority="56">
      <formula>ISBLANK(C11)</formula>
    </cfRule>
  </conditionalFormatting>
  <conditionalFormatting sqref="C14">
    <cfRule type="expression" dxfId="185" priority="55">
      <formula>ISBLANK(C14)</formula>
    </cfRule>
  </conditionalFormatting>
  <conditionalFormatting sqref="O8">
    <cfRule type="expression" dxfId="184" priority="53">
      <formula>ISBLANK(O8)</formula>
    </cfRule>
  </conditionalFormatting>
  <conditionalFormatting sqref="R8">
    <cfRule type="expression" dxfId="183" priority="51">
      <formula>ISBLANK(R8)</formula>
    </cfRule>
  </conditionalFormatting>
  <conditionalFormatting sqref="R13">
    <cfRule type="expression" dxfId="182" priority="50">
      <formula>ISBLANK(R13)</formula>
    </cfRule>
  </conditionalFormatting>
  <conditionalFormatting sqref="V9">
    <cfRule type="expression" dxfId="181" priority="18">
      <formula>$V$9="Alta"</formula>
    </cfRule>
    <cfRule type="expression" dxfId="180" priority="19">
      <formula>$V$9="Media"</formula>
    </cfRule>
    <cfRule type="expression" dxfId="179" priority="20">
      <formula>$V$9="Baja"</formula>
    </cfRule>
  </conditionalFormatting>
  <conditionalFormatting sqref="W9">
    <cfRule type="expression" dxfId="178" priority="15">
      <formula>$W$9="Alta"</formula>
    </cfRule>
    <cfRule type="expression" dxfId="177" priority="16">
      <formula>$W$9="Media"</formula>
    </cfRule>
    <cfRule type="expression" dxfId="176" priority="17">
      <formula>$W$9="Baja"</formula>
    </cfRule>
  </conditionalFormatting>
  <conditionalFormatting sqref="W15">
    <cfRule type="expression" dxfId="175" priority="12">
      <formula>$W$15="Alta"</formula>
    </cfRule>
    <cfRule type="expression" dxfId="174" priority="13">
      <formula>$W$15="Media"</formula>
    </cfRule>
    <cfRule type="expression" dxfId="173" priority="14">
      <formula>$W$15="Baja"</formula>
    </cfRule>
  </conditionalFormatting>
  <conditionalFormatting sqref="V15">
    <cfRule type="expression" dxfId="172" priority="9">
      <formula>$V$15="Alta"</formula>
    </cfRule>
    <cfRule type="expression" dxfId="171" priority="10">
      <formula>$V$15="Media"</formula>
    </cfRule>
    <cfRule type="expression" dxfId="170" priority="11">
      <formula>$V$15="Baja"</formula>
    </cfRule>
  </conditionalFormatting>
  <conditionalFormatting sqref="X9">
    <cfRule type="expression" dxfId="169" priority="6">
      <formula>$X$9="ALTO"</formula>
    </cfRule>
    <cfRule type="expression" dxfId="168" priority="7">
      <formula>$X$9="MEDIO"</formula>
    </cfRule>
    <cfRule type="expression" dxfId="167" priority="8">
      <formula>$X$9="BAJO"</formula>
    </cfRule>
  </conditionalFormatting>
  <conditionalFormatting sqref="X15">
    <cfRule type="expression" dxfId="166" priority="3">
      <formula>$X$15="ALTO"</formula>
    </cfRule>
    <cfRule type="expression" dxfId="165" priority="4">
      <formula>$X$15="MEDIO"</formula>
    </cfRule>
    <cfRule type="expression" dxfId="164" priority="5">
      <formula>$X$15="BAJO"</formula>
    </cfRule>
  </conditionalFormatting>
  <conditionalFormatting sqref="V8">
    <cfRule type="expression" dxfId="163" priority="2">
      <formula>ISBLANK(V8)</formula>
    </cfRule>
  </conditionalFormatting>
  <conditionalFormatting sqref="W8">
    <cfRule type="expression" dxfId="162" priority="1">
      <formula>ISBLANK(W8)</formula>
    </cfRule>
  </conditionalFormatting>
  <dataValidations count="32">
    <dataValidation type="list" allowBlank="1" showInputMessage="1" showErrorMessage="1" sqref="I23:I27" xr:uid="{00000000-0002-0000-0000-000000000000}">
      <formula1>"Manual, Automático, Semi-automático"</formula1>
    </dataValidation>
    <dataValidation type="list" allowBlank="1" showInputMessage="1" showErrorMessage="1" sqref="G23:G27" xr:uid="{00000000-0002-0000-0000-000001000000}">
      <formula1>"No Implementado, Implementado Parcialmente, Totalmente Implementado"</formula1>
    </dataValidation>
    <dataValidation type="list" allowBlank="1" showInputMessage="1" showErrorMessage="1" sqref="P23:T27 J23:J27" xr:uid="{00000000-0002-0000-0000-000002000000}">
      <formula1>"Si, No"</formula1>
    </dataValidation>
    <dataValidation type="list" allowBlank="1" showInputMessage="1" showErrorMessage="1" sqref="AA8:AA9" xr:uid="{00000000-0002-0000-0000-000003000000}">
      <formula1>"1, 2, 3, 4, 5"</formula1>
    </dataValidation>
    <dataValidation type="list" allowBlank="1" showInputMessage="1" showErrorMessage="1" sqref="C11" xr:uid="{00000000-0002-0000-0000-000004000000}">
      <formula1>AgenteGenerador</formula1>
    </dataValidation>
    <dataValidation type="list" allowBlank="1" showInputMessage="1" showErrorMessage="1" sqref="K23:K27" xr:uid="{00000000-0002-0000-0000-000005000000}">
      <formula1>"Preventivo, Detectivo"</formula1>
    </dataValidation>
    <dataValidation type="list" allowBlank="1" showInputMessage="1" showErrorMessage="1" sqref="O23:O27" xr:uid="{00000000-0002-0000-0000-000006000000}">
      <formula1>"Comprensible, Difícil"</formula1>
    </dataValidation>
    <dataValidation allowBlank="1" showInputMessage="1" showErrorMessage="1" promptTitle="Definición del Objetivo" prompt="Adecuado: El control es medible y puede ser monitoreado._x000a_Inadecuado: No tiene parámetros de medición y no es monitoreado._x000a_" sqref="M22" xr:uid="{00000000-0002-0000-0000-000007000000}"/>
    <dataValidation allowBlank="1" showInputMessage="1" showErrorMessage="1" promptTitle="Aspectos Económicos" prompt="Viable: El costo de implementación es inferior a la exposición de los riesgos._x000a_No Viable: El costo de implementación excede el beneficio perseguido._x000a_" sqref="N22" xr:uid="{00000000-0002-0000-0000-000008000000}"/>
    <dataValidation allowBlank="1" showInputMessage="1" showErrorMessage="1" promptTitle="Alcance del Control" prompt="Actividades y Personas: El alcance está dirigido a estos dos elementos._x000a_Actividades o Personas: El alcance está dirigido a alguno de estos dos elementos._x000a_No Especificado: No es claro a qué elemento está dirigido." sqref="L22" xr:uid="{00000000-0002-0000-0000-000009000000}"/>
    <dataValidation allowBlank="1" showInputMessage="1" showErrorMessage="1" promptTitle="Comprensibilidad" prompt="Comprensible: El diseño del control es claro para entender el alcance, los tiempos, los recursos para su ejecución._x000a_Difícil de entender: El diseño genera confusión con respecto al alcance, tiempos y asignación de recursos." sqref="O22" xr:uid="{00000000-0002-0000-0000-00000A000000}"/>
    <dataValidation allowBlank="1" showInputMessage="1" showErrorMessage="1" promptTitle="Documentado" prompt="Se documenta el control en todas las etapas (p.e. diseño, implementación, ejecución, monitoreo y mejora continua)." sqref="P22" xr:uid="{00000000-0002-0000-0000-00000B000000}"/>
    <dataValidation allowBlank="1" showInputMessage="1" showErrorMessage="1" promptTitle="Conforme al Objetivo" prompt="El control se ejecuta de acuerdo a la definición del alcance." sqref="Q22" xr:uid="{00000000-0002-0000-0000-00000C000000}"/>
    <dataValidation allowBlank="1" showInputMessage="1" showErrorMessage="1" promptTitle="Frecuencia Planeada" prompt="Las medidas de control se están ejecutando de acuerdo a la periodicidad establecida." sqref="S22" xr:uid="{00000000-0002-0000-0000-00000D000000}"/>
    <dataValidation allowBlank="1" showInputMessage="1" showErrorMessage="1" promptTitle="Responsables Definidos" prompt="Se han definido los responsables en la ejecución y seguimiento de las actividades de control." sqref="T22" xr:uid="{00000000-0002-0000-0000-00000E000000}"/>
    <dataValidation allowBlank="1" showInputMessage="1" showErrorMessage="1" promptTitle="Nombre del Control" prompt="Establezca el nombre del Control. Busque atacar las causas generadoras." sqref="C22:E22" xr:uid="{00000000-0002-0000-0000-00000F000000}"/>
    <dataValidation allowBlank="1" showInputMessage="1" showErrorMessage="1" promptTitle="Descripción del Control" prompt="Describa de manera clara y simple el control. " sqref="F22" xr:uid="{00000000-0002-0000-0000-000010000000}"/>
    <dataValidation allowBlank="1" showInputMessage="1" showErrorMessage="1" promptTitle="Implementación" prompt="Seleccione si el control está implementado (diseñado y ejecutado), parcialmente implementado (diseñado y ejecutado parcialmente) o no implementado (sin diseño o ejecución)." sqref="G22" xr:uid="{00000000-0002-0000-0000-000011000000}"/>
    <dataValidation allowBlank="1" showInputMessage="1" showErrorMessage="1" promptTitle="Fecha de Implementación" prompt="Escriba la fecha de implementación del control." sqref="H22" xr:uid="{00000000-0002-0000-0000-000012000000}"/>
    <dataValidation allowBlank="1" showInputMessage="1" showErrorMessage="1" promptTitle="Tipo de Control" prompt="Automático: Conjunto de conectores físicos o tecnológicos que regulan por sí mismos._x000a_Semi-automático: Que efectúa parte de su funcionamiento de manera automática tras una activación manual._x000a_Manual: Intervención de una persona en la ejecución._x000a__x000a_" sqref="I22" xr:uid="{00000000-0002-0000-0000-000013000000}"/>
    <dataValidation allowBlank="1" showInputMessage="1" showErrorMessage="1" promptTitle="Control Clave" prompt="Representa un control clave para mitigar y prevenir amenazas que puedan afectar el cumplimiento a la normatividad LA/FT._x000a_" sqref="J22" xr:uid="{00000000-0002-0000-0000-000014000000}"/>
    <dataValidation allowBlank="1" showInputMessage="1" showErrorMessage="1" promptTitle="Indicadores" prompt="Cuenta con indicadores de seguimiento para verificar los resultados perseguidos." sqref="R22" xr:uid="{00000000-0002-0000-0000-000015000000}"/>
    <dataValidation allowBlank="1" showInputMessage="1" showErrorMessage="1" promptTitle="Tipo de Control" prompt="Preventivo: El control actua  sobre las causas o generadores del riesgo._x000a_Detectivo: Señal de alerta que se acciona durante la ejecución del control." sqref="K22" xr:uid="{00000000-0002-0000-0000-000016000000}"/>
    <dataValidation type="list" allowBlank="1" showInputMessage="1" showErrorMessage="1" sqref="C14" xr:uid="{00000000-0002-0000-0000-000017000000}">
      <formula1>Factor_Especifico</formula1>
    </dataValidation>
    <dataValidation type="list" allowBlank="1" showInputMessage="1" showErrorMessage="1" sqref="R8:R11 S9:S11" xr:uid="{00000000-0002-0000-0000-000018000000}">
      <formula1>RiesgoAsociado</formula1>
    </dataValidation>
    <dataValidation type="list" allowBlank="1" showInputMessage="1" showErrorMessage="1" sqref="R13:R16 S14:S16" xr:uid="{00000000-0002-0000-0000-000019000000}">
      <formula1>Consecuencias</formula1>
    </dataValidation>
    <dataValidation type="list" allowBlank="1" showInputMessage="1" showErrorMessage="1" sqref="N23:N27" xr:uid="{00000000-0002-0000-0000-00001A000000}">
      <formula1>"Viable, Se desconoce, No Viable"</formula1>
    </dataValidation>
    <dataValidation type="list" allowBlank="1" showInputMessage="1" showErrorMessage="1" sqref="L23:L27" xr:uid="{00000000-0002-0000-0000-00001B000000}">
      <formula1>"Actividades y Personas, Actividades o Personas, No especificado"</formula1>
    </dataValidation>
    <dataValidation type="date" allowBlank="1" showInputMessage="1" showErrorMessage="1" errorTitle="Fecha Inválida" error="Debe ingresar la información en Formato Fecha : dd/mm/aa" sqref="H24:H27 H23" xr:uid="{00000000-0002-0000-0000-00001C000000}">
      <formula1>40909</formula1>
      <formula2>46022</formula2>
    </dataValidation>
    <dataValidation type="list" allowBlank="1" showInputMessage="1" showErrorMessage="1" sqref="M23:M27" xr:uid="{00000000-0002-0000-0000-00001D000000}">
      <formula1>"Adecuado,Inadecuado"</formula1>
    </dataValidation>
    <dataValidation type="list" allowBlank="1" showInputMessage="1" showErrorMessage="1" sqref="V8:W8" xr:uid="{00000000-0002-0000-0000-00001E000000}">
      <formula1>"1, 2, 3"</formula1>
    </dataValidation>
    <dataValidation type="list" allowBlank="1" showInputMessage="1" showErrorMessage="1" sqref="O8:P16" xr:uid="{00000000-0002-0000-0000-00001F000000}">
      <formula1>"LA,FT,LA/FT,Soborno"</formula1>
    </dataValidation>
  </dataValidations>
  <pageMargins left="0.7" right="0.7" top="0.75" bottom="0.75" header="0.3" footer="0.3"/>
  <pageSetup scale="2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20000000}">
          <x14:formula1>
            <xm:f>Parametros!$Q$2:$Q$16</xm:f>
          </x14:formula1>
          <xm:sqref>G8:G16</xm:sqref>
        </x14:dataValidation>
        <x14:dataValidation type="list" allowBlank="1" showInputMessage="1" showErrorMessage="1" xr:uid="{00000000-0002-0000-0000-000021000000}">
          <x14:formula1>
            <xm:f>Parametros!$B$2:$B$10</xm:f>
          </x14:formula1>
          <xm:sqref>H8:N8</xm:sqref>
        </x14:dataValidation>
        <x14:dataValidation type="list" allowBlank="1" showInputMessage="1" showErrorMessage="1" xr:uid="{00000000-0002-0000-0000-000022000000}">
          <x14:formula1>
            <xm:f>Parametros!$K$2:$K$28</xm:f>
          </x14:formula1>
          <xm:sqref>C8:F9</xm:sqref>
        </x14:dataValidation>
        <x14:dataValidation type="list" allowBlank="1" showInputMessage="1" showErrorMessage="1" xr:uid="{00000000-0002-0000-0000-000023000000}">
          <x14:formula1>
            <xm:f>Parametros!$AE$2:$AE$16</xm:f>
          </x14:formula1>
          <xm:sqref>F23</xm:sqref>
        </x14:dataValidation>
        <x14:dataValidation type="list" allowBlank="1" showInputMessage="1" showErrorMessage="1" xr:uid="{00000000-0002-0000-0000-000024000000}">
          <x14:formula1>
            <xm:f>Parametros!$B$2:$B$16</xm:f>
          </x14:formula1>
          <xm:sqref>H9:N13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4" tint="-0.499984740745262"/>
    <pageSetUpPr fitToPage="1"/>
  </sheetPr>
  <dimension ref="A1:AF137"/>
  <sheetViews>
    <sheetView showGridLines="0" showRowColHeaders="0" topLeftCell="G1" zoomScale="67" zoomScaleNormal="67" workbookViewId="0">
      <selection activeCell="K96" sqref="K96"/>
    </sheetView>
  </sheetViews>
  <sheetFormatPr defaultColWidth="11.42578125" defaultRowHeight="15" x14ac:dyDescent="0.25"/>
  <cols>
    <col min="1" max="2" width="5.5703125" customWidth="1"/>
    <col min="5" max="5" width="25.5703125" customWidth="1"/>
    <col min="6" max="6" width="57.42578125" customWidth="1"/>
    <col min="7" max="7" width="37.85546875" customWidth="1"/>
    <col min="8" max="8" width="29" customWidth="1"/>
    <col min="9" max="9" width="23" customWidth="1"/>
    <col min="10" max="10" width="25.85546875" customWidth="1"/>
    <col min="11" max="11" width="17.140625" customWidth="1"/>
    <col min="12" max="12" width="28.42578125" bestFit="1" customWidth="1"/>
    <col min="13" max="13" width="20.140625" bestFit="1" customWidth="1"/>
    <col min="14" max="14" width="17.5703125" bestFit="1" customWidth="1"/>
    <col min="15" max="15" width="24.85546875" bestFit="1" customWidth="1"/>
    <col min="16" max="16" width="20.5703125" bestFit="1" customWidth="1"/>
    <col min="17" max="18" width="17.5703125" bestFit="1" customWidth="1"/>
    <col min="19" max="19" width="33.42578125" customWidth="1"/>
    <col min="20" max="21" width="3.42578125" customWidth="1"/>
    <col min="22" max="22" width="18.5703125" bestFit="1" customWidth="1"/>
    <col min="23" max="23" width="12.5703125" customWidth="1"/>
    <col min="24" max="24" width="24.5703125" customWidth="1"/>
  </cols>
  <sheetData>
    <row r="1" spans="1:32" ht="24.95" customHeight="1" x14ac:dyDescent="0.25">
      <c r="A1" s="4"/>
      <c r="B1" s="4"/>
      <c r="C1" s="342" t="s">
        <v>272</v>
      </c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4.95" customHeight="1" x14ac:dyDescent="0.25">
      <c r="A2" s="4"/>
      <c r="B2" s="4"/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24.95" customHeight="1" x14ac:dyDescent="0.25">
      <c r="A3" s="4"/>
      <c r="B3" s="4"/>
      <c r="C3" s="343"/>
      <c r="D3" s="343"/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4"/>
      <c r="AB4" s="4"/>
      <c r="AC4" s="4"/>
      <c r="AD4" s="4"/>
      <c r="AE4" s="4"/>
      <c r="AF4" s="4"/>
    </row>
    <row r="5" spans="1:32" ht="15.75" thickBot="1" x14ac:dyDescent="0.3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4"/>
      <c r="AB5" s="4"/>
      <c r="AC5" s="4"/>
      <c r="AD5" s="4"/>
      <c r="AE5" s="4"/>
      <c r="AF5" s="4"/>
    </row>
    <row r="6" spans="1:32" ht="16.5" customHeight="1" thickTop="1" x14ac:dyDescent="0.25">
      <c r="A6" s="71"/>
      <c r="B6" s="71"/>
      <c r="C6" s="326" t="s">
        <v>17</v>
      </c>
      <c r="D6" s="327"/>
      <c r="E6" s="327"/>
      <c r="F6" s="328"/>
      <c r="G6" s="332" t="s">
        <v>59</v>
      </c>
      <c r="H6" s="334" t="s">
        <v>60</v>
      </c>
      <c r="I6" s="327"/>
      <c r="J6" s="327"/>
      <c r="K6" s="327"/>
      <c r="L6" s="327"/>
      <c r="M6" s="327"/>
      <c r="N6" s="328"/>
      <c r="O6" s="334" t="s">
        <v>67</v>
      </c>
      <c r="P6" s="328"/>
      <c r="Q6" s="336" t="s">
        <v>98</v>
      </c>
      <c r="R6" s="337"/>
      <c r="S6" s="338"/>
      <c r="T6" s="71"/>
      <c r="U6" s="71"/>
      <c r="V6" s="283" t="s">
        <v>57</v>
      </c>
      <c r="W6" s="284"/>
      <c r="X6" s="285"/>
      <c r="Y6" s="71"/>
      <c r="Z6" s="71"/>
    </row>
    <row r="7" spans="1:32" ht="15.75" x14ac:dyDescent="0.25">
      <c r="A7" s="71"/>
      <c r="B7" s="71"/>
      <c r="C7" s="329"/>
      <c r="D7" s="330"/>
      <c r="E7" s="330"/>
      <c r="F7" s="331"/>
      <c r="G7" s="333"/>
      <c r="H7" s="335"/>
      <c r="I7" s="330"/>
      <c r="J7" s="330"/>
      <c r="K7" s="330"/>
      <c r="L7" s="330"/>
      <c r="M7" s="330"/>
      <c r="N7" s="331"/>
      <c r="O7" s="335"/>
      <c r="P7" s="331"/>
      <c r="Q7" s="339"/>
      <c r="R7" s="340"/>
      <c r="S7" s="341"/>
      <c r="T7" s="71"/>
      <c r="U7" s="71"/>
      <c r="V7" s="72" t="s">
        <v>1</v>
      </c>
      <c r="W7" s="23" t="s">
        <v>9</v>
      </c>
      <c r="X7" s="73" t="s">
        <v>2</v>
      </c>
      <c r="Y7" s="71"/>
      <c r="Z7" s="71"/>
    </row>
    <row r="8" spans="1:32" ht="15.75" customHeight="1" x14ac:dyDescent="0.25">
      <c r="A8" s="71"/>
      <c r="B8" s="71"/>
      <c r="C8" s="295" t="s">
        <v>220</v>
      </c>
      <c r="D8" s="296"/>
      <c r="E8" s="296"/>
      <c r="F8" s="297"/>
      <c r="G8" s="301" t="s">
        <v>217</v>
      </c>
      <c r="H8" s="304" t="s">
        <v>231</v>
      </c>
      <c r="I8" s="305"/>
      <c r="J8" s="305"/>
      <c r="K8" s="305"/>
      <c r="L8" s="305"/>
      <c r="M8" s="305"/>
      <c r="N8" s="306"/>
      <c r="O8" s="307" t="s">
        <v>251</v>
      </c>
      <c r="P8" s="297"/>
      <c r="Q8" s="32">
        <v>1</v>
      </c>
      <c r="R8" s="312" t="s">
        <v>54</v>
      </c>
      <c r="S8" s="313"/>
      <c r="T8" s="71"/>
      <c r="U8" s="71"/>
      <c r="V8" s="74">
        <v>1</v>
      </c>
      <c r="W8" s="75">
        <v>3</v>
      </c>
      <c r="X8" s="76">
        <v>3</v>
      </c>
      <c r="Y8" s="71"/>
      <c r="Z8" s="71"/>
    </row>
    <row r="9" spans="1:32" ht="15.75" customHeight="1" x14ac:dyDescent="0.25">
      <c r="A9" s="71"/>
      <c r="B9" s="71"/>
      <c r="C9" s="298"/>
      <c r="D9" s="299"/>
      <c r="E9" s="299"/>
      <c r="F9" s="300"/>
      <c r="G9" s="302"/>
      <c r="H9" s="304" t="s">
        <v>239</v>
      </c>
      <c r="I9" s="305"/>
      <c r="J9" s="305"/>
      <c r="K9" s="305"/>
      <c r="L9" s="305"/>
      <c r="M9" s="305"/>
      <c r="N9" s="306"/>
      <c r="O9" s="308"/>
      <c r="P9" s="309"/>
      <c r="Q9" s="30">
        <v>2</v>
      </c>
      <c r="R9" s="312" t="s">
        <v>51</v>
      </c>
      <c r="S9" s="313"/>
      <c r="T9" s="71"/>
      <c r="U9" s="71"/>
      <c r="V9" s="286" t="s">
        <v>10</v>
      </c>
      <c r="W9" s="288" t="s">
        <v>11</v>
      </c>
      <c r="X9" s="290" t="s">
        <v>148</v>
      </c>
      <c r="Y9" s="71"/>
      <c r="Z9" s="71"/>
    </row>
    <row r="10" spans="1:32" ht="16.5" customHeight="1" thickBot="1" x14ac:dyDescent="0.3">
      <c r="A10" s="71"/>
      <c r="B10" s="71"/>
      <c r="C10" s="314" t="s">
        <v>55</v>
      </c>
      <c r="D10" s="250"/>
      <c r="E10" s="250"/>
      <c r="F10" s="251"/>
      <c r="G10" s="302"/>
      <c r="H10" s="304" t="s">
        <v>235</v>
      </c>
      <c r="I10" s="305"/>
      <c r="J10" s="305"/>
      <c r="K10" s="305"/>
      <c r="L10" s="305"/>
      <c r="M10" s="305"/>
      <c r="N10" s="306"/>
      <c r="O10" s="308"/>
      <c r="P10" s="309"/>
      <c r="Q10" s="30">
        <v>3</v>
      </c>
      <c r="R10" s="312"/>
      <c r="S10" s="313"/>
      <c r="T10" s="71"/>
      <c r="U10" s="71"/>
      <c r="V10" s="287"/>
      <c r="W10" s="289"/>
      <c r="X10" s="291"/>
      <c r="Y10" s="71"/>
      <c r="Z10" s="71"/>
    </row>
    <row r="11" spans="1:32" ht="17.25" customHeight="1" thickTop="1" thickBot="1" x14ac:dyDescent="0.3">
      <c r="A11" s="71"/>
      <c r="B11" s="71"/>
      <c r="C11" s="295" t="s">
        <v>34</v>
      </c>
      <c r="D11" s="296"/>
      <c r="E11" s="296"/>
      <c r="F11" s="297"/>
      <c r="G11" s="302"/>
      <c r="H11" s="304"/>
      <c r="I11" s="305"/>
      <c r="J11" s="305"/>
      <c r="K11" s="305"/>
      <c r="L11" s="305"/>
      <c r="M11" s="305"/>
      <c r="N11" s="306"/>
      <c r="O11" s="308"/>
      <c r="P11" s="309"/>
      <c r="Q11" s="32">
        <v>4</v>
      </c>
      <c r="R11" s="312"/>
      <c r="S11" s="313"/>
      <c r="T11" s="71"/>
      <c r="U11" s="71"/>
      <c r="V11" s="17"/>
      <c r="W11" s="17"/>
      <c r="X11" s="17"/>
      <c r="Y11" s="71"/>
      <c r="Z11" s="71"/>
    </row>
    <row r="12" spans="1:32" ht="16.5" customHeight="1" thickTop="1" x14ac:dyDescent="0.25">
      <c r="A12" s="71"/>
      <c r="B12" s="71"/>
      <c r="C12" s="298"/>
      <c r="D12" s="299"/>
      <c r="E12" s="299"/>
      <c r="F12" s="300"/>
      <c r="G12" s="302"/>
      <c r="H12" s="304"/>
      <c r="I12" s="305"/>
      <c r="J12" s="305"/>
      <c r="K12" s="305"/>
      <c r="L12" s="305"/>
      <c r="M12" s="305"/>
      <c r="N12" s="306"/>
      <c r="O12" s="308"/>
      <c r="P12" s="309"/>
      <c r="Q12" s="249" t="s">
        <v>97</v>
      </c>
      <c r="R12" s="250"/>
      <c r="S12" s="315"/>
      <c r="T12" s="71"/>
      <c r="U12" s="71"/>
      <c r="V12" s="292" t="s">
        <v>58</v>
      </c>
      <c r="W12" s="293"/>
      <c r="X12" s="294"/>
      <c r="Y12" s="71"/>
      <c r="Z12" s="71"/>
    </row>
    <row r="13" spans="1:32" ht="15.75" customHeight="1" x14ac:dyDescent="0.25">
      <c r="A13" s="71"/>
      <c r="B13" s="71"/>
      <c r="C13" s="314" t="s">
        <v>38</v>
      </c>
      <c r="D13" s="250"/>
      <c r="E13" s="251"/>
      <c r="F13" s="69" t="s">
        <v>40</v>
      </c>
      <c r="G13" s="302"/>
      <c r="H13" s="304"/>
      <c r="I13" s="305"/>
      <c r="J13" s="305"/>
      <c r="K13" s="305"/>
      <c r="L13" s="305"/>
      <c r="M13" s="305"/>
      <c r="N13" s="306"/>
      <c r="O13" s="308"/>
      <c r="P13" s="309"/>
      <c r="Q13" s="38">
        <v>1</v>
      </c>
      <c r="R13" s="312" t="s">
        <v>83</v>
      </c>
      <c r="S13" s="313"/>
      <c r="T13" s="71"/>
      <c r="U13" s="71"/>
      <c r="V13" s="72" t="s">
        <v>1</v>
      </c>
      <c r="W13" s="23" t="s">
        <v>9</v>
      </c>
      <c r="X13" s="77" t="s">
        <v>78</v>
      </c>
      <c r="Y13" s="71"/>
      <c r="Z13" s="71"/>
    </row>
    <row r="14" spans="1:32" ht="15.75" customHeight="1" x14ac:dyDescent="0.25">
      <c r="A14" s="71"/>
      <c r="B14" s="71"/>
      <c r="C14" s="295" t="s">
        <v>46</v>
      </c>
      <c r="D14" s="296"/>
      <c r="E14" s="297"/>
      <c r="F14" s="320" t="s">
        <v>255</v>
      </c>
      <c r="G14" s="302"/>
      <c r="H14" s="249" t="s">
        <v>61</v>
      </c>
      <c r="I14" s="250"/>
      <c r="J14" s="250"/>
      <c r="K14" s="250"/>
      <c r="L14" s="250"/>
      <c r="M14" s="250"/>
      <c r="N14" s="251"/>
      <c r="O14" s="308"/>
      <c r="P14" s="309"/>
      <c r="Q14" s="35">
        <v>2</v>
      </c>
      <c r="R14" s="312" t="s">
        <v>94</v>
      </c>
      <c r="S14" s="313"/>
      <c r="T14" s="71"/>
      <c r="U14" s="71"/>
      <c r="V14" s="74">
        <v>1</v>
      </c>
      <c r="W14" s="75">
        <v>3</v>
      </c>
      <c r="X14" s="76">
        <v>3</v>
      </c>
      <c r="Y14" s="71"/>
      <c r="Z14" s="71"/>
    </row>
    <row r="15" spans="1:32" ht="15.75" customHeight="1" x14ac:dyDescent="0.25">
      <c r="A15" s="71"/>
      <c r="B15" s="71"/>
      <c r="C15" s="316"/>
      <c r="D15" s="317"/>
      <c r="E15" s="309"/>
      <c r="F15" s="321"/>
      <c r="G15" s="302"/>
      <c r="H15" s="323"/>
      <c r="I15" s="324"/>
      <c r="J15" s="324"/>
      <c r="K15" s="324"/>
      <c r="L15" s="324"/>
      <c r="M15" s="324"/>
      <c r="N15" s="325"/>
      <c r="O15" s="308"/>
      <c r="P15" s="309"/>
      <c r="Q15" s="35">
        <v>3</v>
      </c>
      <c r="R15" s="312"/>
      <c r="S15" s="313"/>
      <c r="T15" s="71"/>
      <c r="U15" s="71"/>
      <c r="V15" s="286" t="s">
        <v>10</v>
      </c>
      <c r="W15" s="288" t="s">
        <v>11</v>
      </c>
      <c r="X15" s="290" t="s">
        <v>148</v>
      </c>
      <c r="Y15" s="71"/>
      <c r="Z15" s="71"/>
    </row>
    <row r="16" spans="1:32" ht="16.5" customHeight="1" thickBot="1" x14ac:dyDescent="0.3">
      <c r="A16" s="71"/>
      <c r="B16" s="71"/>
      <c r="C16" s="318"/>
      <c r="D16" s="319"/>
      <c r="E16" s="311"/>
      <c r="F16" s="322"/>
      <c r="G16" s="303"/>
      <c r="H16" s="278"/>
      <c r="I16" s="279"/>
      <c r="J16" s="279"/>
      <c r="K16" s="279"/>
      <c r="L16" s="279"/>
      <c r="M16" s="279"/>
      <c r="N16" s="280"/>
      <c r="O16" s="310"/>
      <c r="P16" s="311"/>
      <c r="Q16" s="78">
        <v>4</v>
      </c>
      <c r="R16" s="281"/>
      <c r="S16" s="282"/>
      <c r="T16" s="71"/>
      <c r="U16" s="71"/>
      <c r="V16" s="287"/>
      <c r="W16" s="289"/>
      <c r="X16" s="291"/>
      <c r="Y16" s="71"/>
      <c r="Z16" s="71"/>
    </row>
    <row r="17" spans="1:26" ht="16.5" thickTop="1" x14ac:dyDescent="0.25">
      <c r="A17" s="71"/>
      <c r="B17" s="71"/>
      <c r="C17" s="326" t="s">
        <v>17</v>
      </c>
      <c r="D17" s="327"/>
      <c r="E17" s="327"/>
      <c r="F17" s="328"/>
      <c r="G17" s="332" t="s">
        <v>59</v>
      </c>
      <c r="H17" s="334" t="s">
        <v>60</v>
      </c>
      <c r="I17" s="327"/>
      <c r="J17" s="327"/>
      <c r="K17" s="327"/>
      <c r="L17" s="327"/>
      <c r="M17" s="327"/>
      <c r="N17" s="328"/>
      <c r="O17" s="334" t="s">
        <v>67</v>
      </c>
      <c r="P17" s="328"/>
      <c r="Q17" s="336" t="s">
        <v>98</v>
      </c>
      <c r="R17" s="337"/>
      <c r="S17" s="338"/>
      <c r="T17" s="71"/>
      <c r="U17" s="71"/>
      <c r="V17" s="283" t="s">
        <v>57</v>
      </c>
      <c r="W17" s="284"/>
      <c r="X17" s="285"/>
      <c r="Y17" s="71"/>
      <c r="Z17" s="71"/>
    </row>
    <row r="18" spans="1:26" ht="15.75" x14ac:dyDescent="0.25">
      <c r="A18" s="71"/>
      <c r="B18" s="71"/>
      <c r="C18" s="329"/>
      <c r="D18" s="330"/>
      <c r="E18" s="330"/>
      <c r="F18" s="331"/>
      <c r="G18" s="333"/>
      <c r="H18" s="335"/>
      <c r="I18" s="330"/>
      <c r="J18" s="330"/>
      <c r="K18" s="330"/>
      <c r="L18" s="330"/>
      <c r="M18" s="330"/>
      <c r="N18" s="331"/>
      <c r="O18" s="335"/>
      <c r="P18" s="331"/>
      <c r="Q18" s="339"/>
      <c r="R18" s="340"/>
      <c r="S18" s="341"/>
      <c r="T18" s="71"/>
      <c r="U18" s="71"/>
      <c r="V18" s="72" t="s">
        <v>1</v>
      </c>
      <c r="W18" s="23" t="s">
        <v>9</v>
      </c>
      <c r="X18" s="73" t="s">
        <v>2</v>
      </c>
      <c r="Y18" s="71"/>
      <c r="Z18" s="71"/>
    </row>
    <row r="19" spans="1:26" ht="15.75" x14ac:dyDescent="0.25">
      <c r="A19" s="71"/>
      <c r="B19" s="71"/>
      <c r="C19" s="295" t="s">
        <v>220</v>
      </c>
      <c r="D19" s="296"/>
      <c r="E19" s="296"/>
      <c r="F19" s="297"/>
      <c r="G19" s="301" t="s">
        <v>209</v>
      </c>
      <c r="H19" s="304" t="s">
        <v>231</v>
      </c>
      <c r="I19" s="305"/>
      <c r="J19" s="305"/>
      <c r="K19" s="305"/>
      <c r="L19" s="305"/>
      <c r="M19" s="305"/>
      <c r="N19" s="306"/>
      <c r="O19" s="307" t="s">
        <v>251</v>
      </c>
      <c r="P19" s="297"/>
      <c r="Q19" s="32">
        <v>1</v>
      </c>
      <c r="R19" s="312" t="s">
        <v>54</v>
      </c>
      <c r="S19" s="313"/>
      <c r="T19" s="71"/>
      <c r="U19" s="71"/>
      <c r="V19" s="74">
        <v>1</v>
      </c>
      <c r="W19" s="75">
        <v>3</v>
      </c>
      <c r="X19" s="76">
        <v>3</v>
      </c>
      <c r="Y19" s="71"/>
      <c r="Z19" s="71"/>
    </row>
    <row r="20" spans="1:26" ht="15.75" x14ac:dyDescent="0.25">
      <c r="A20" s="71"/>
      <c r="B20" s="71"/>
      <c r="C20" s="298"/>
      <c r="D20" s="299"/>
      <c r="E20" s="299"/>
      <c r="F20" s="300"/>
      <c r="G20" s="302"/>
      <c r="H20" s="304" t="s">
        <v>236</v>
      </c>
      <c r="I20" s="305"/>
      <c r="J20" s="305"/>
      <c r="K20" s="305"/>
      <c r="L20" s="305"/>
      <c r="M20" s="305"/>
      <c r="N20" s="306"/>
      <c r="O20" s="308"/>
      <c r="P20" s="309"/>
      <c r="Q20" s="30">
        <v>2</v>
      </c>
      <c r="R20" s="312" t="s">
        <v>51</v>
      </c>
      <c r="S20" s="313"/>
      <c r="T20" s="71"/>
      <c r="U20" s="71"/>
      <c r="V20" s="286" t="s">
        <v>10</v>
      </c>
      <c r="W20" s="288" t="s">
        <v>11</v>
      </c>
      <c r="X20" s="290" t="s">
        <v>148</v>
      </c>
      <c r="Y20" s="71"/>
      <c r="Z20" s="71"/>
    </row>
    <row r="21" spans="1:26" ht="16.5" thickBot="1" x14ac:dyDescent="0.3">
      <c r="A21" s="71"/>
      <c r="B21" s="71"/>
      <c r="C21" s="314" t="s">
        <v>55</v>
      </c>
      <c r="D21" s="250"/>
      <c r="E21" s="250"/>
      <c r="F21" s="251"/>
      <c r="G21" s="302"/>
      <c r="H21" s="304" t="s">
        <v>228</v>
      </c>
      <c r="I21" s="305"/>
      <c r="J21" s="305"/>
      <c r="K21" s="305"/>
      <c r="L21" s="305"/>
      <c r="M21" s="305"/>
      <c r="N21" s="306"/>
      <c r="O21" s="308"/>
      <c r="P21" s="309"/>
      <c r="Q21" s="30">
        <v>3</v>
      </c>
      <c r="R21" s="312"/>
      <c r="S21" s="313"/>
      <c r="T21" s="71"/>
      <c r="U21" s="71"/>
      <c r="V21" s="287"/>
      <c r="W21" s="289"/>
      <c r="X21" s="291"/>
      <c r="Y21" s="71"/>
      <c r="Z21" s="71"/>
    </row>
    <row r="22" spans="1:26" ht="17.25" thickTop="1" thickBot="1" x14ac:dyDescent="0.3">
      <c r="A22" s="71"/>
      <c r="B22" s="71"/>
      <c r="C22" s="295" t="s">
        <v>34</v>
      </c>
      <c r="D22" s="296"/>
      <c r="E22" s="296"/>
      <c r="F22" s="297"/>
      <c r="G22" s="302"/>
      <c r="H22" s="304" t="s">
        <v>238</v>
      </c>
      <c r="I22" s="305"/>
      <c r="J22" s="305"/>
      <c r="K22" s="305"/>
      <c r="L22" s="305"/>
      <c r="M22" s="305"/>
      <c r="N22" s="306"/>
      <c r="O22" s="308"/>
      <c r="P22" s="309"/>
      <c r="Q22" s="32">
        <v>4</v>
      </c>
      <c r="R22" s="312"/>
      <c r="S22" s="313"/>
      <c r="T22" s="71"/>
      <c r="U22" s="71"/>
      <c r="V22" s="17"/>
      <c r="W22" s="17"/>
      <c r="X22" s="17"/>
      <c r="Y22" s="71"/>
      <c r="Z22" s="71"/>
    </row>
    <row r="23" spans="1:26" ht="16.5" thickTop="1" x14ac:dyDescent="0.25">
      <c r="A23" s="71"/>
      <c r="B23" s="71"/>
      <c r="C23" s="298"/>
      <c r="D23" s="299"/>
      <c r="E23" s="299"/>
      <c r="F23" s="300"/>
      <c r="G23" s="302"/>
      <c r="H23" s="304" t="s">
        <v>232</v>
      </c>
      <c r="I23" s="305"/>
      <c r="J23" s="305"/>
      <c r="K23" s="305"/>
      <c r="L23" s="305"/>
      <c r="M23" s="305"/>
      <c r="N23" s="306"/>
      <c r="O23" s="308"/>
      <c r="P23" s="309"/>
      <c r="Q23" s="249" t="s">
        <v>97</v>
      </c>
      <c r="R23" s="250"/>
      <c r="S23" s="315"/>
      <c r="T23" s="71"/>
      <c r="U23" s="71"/>
      <c r="V23" s="292" t="s">
        <v>58</v>
      </c>
      <c r="W23" s="293"/>
      <c r="X23" s="294"/>
      <c r="Y23" s="71"/>
      <c r="Z23" s="71"/>
    </row>
    <row r="24" spans="1:26" ht="15.75" x14ac:dyDescent="0.25">
      <c r="A24" s="71"/>
      <c r="B24" s="71"/>
      <c r="C24" s="314" t="s">
        <v>38</v>
      </c>
      <c r="D24" s="250"/>
      <c r="E24" s="251"/>
      <c r="F24" s="69" t="s">
        <v>40</v>
      </c>
      <c r="G24" s="302"/>
      <c r="H24" s="304"/>
      <c r="I24" s="305"/>
      <c r="J24" s="305"/>
      <c r="K24" s="305"/>
      <c r="L24" s="305"/>
      <c r="M24" s="305"/>
      <c r="N24" s="306"/>
      <c r="O24" s="308"/>
      <c r="P24" s="309"/>
      <c r="Q24" s="38">
        <v>1</v>
      </c>
      <c r="R24" s="312" t="s">
        <v>93</v>
      </c>
      <c r="S24" s="313"/>
      <c r="T24" s="71"/>
      <c r="U24" s="71"/>
      <c r="V24" s="72" t="s">
        <v>1</v>
      </c>
      <c r="W24" s="23" t="s">
        <v>9</v>
      </c>
      <c r="X24" s="77" t="s">
        <v>78</v>
      </c>
      <c r="Y24" s="71"/>
      <c r="Z24" s="71"/>
    </row>
    <row r="25" spans="1:26" ht="15.75" x14ac:dyDescent="0.25">
      <c r="A25" s="71"/>
      <c r="B25" s="71"/>
      <c r="C25" s="295" t="s">
        <v>44</v>
      </c>
      <c r="D25" s="296"/>
      <c r="E25" s="297"/>
      <c r="F25" s="320" t="s">
        <v>259</v>
      </c>
      <c r="G25" s="302"/>
      <c r="H25" s="249" t="s">
        <v>61</v>
      </c>
      <c r="I25" s="250"/>
      <c r="J25" s="250"/>
      <c r="K25" s="250"/>
      <c r="L25" s="250"/>
      <c r="M25" s="250"/>
      <c r="N25" s="251"/>
      <c r="O25" s="308"/>
      <c r="P25" s="309"/>
      <c r="Q25" s="35">
        <v>2</v>
      </c>
      <c r="R25" s="312" t="s">
        <v>83</v>
      </c>
      <c r="S25" s="313"/>
      <c r="T25" s="71"/>
      <c r="U25" s="71"/>
      <c r="V25" s="74">
        <v>1</v>
      </c>
      <c r="W25" s="75">
        <v>3</v>
      </c>
      <c r="X25" s="76">
        <v>3</v>
      </c>
      <c r="Y25" s="71"/>
      <c r="Z25" s="71"/>
    </row>
    <row r="26" spans="1:26" ht="15.75" x14ac:dyDescent="0.25">
      <c r="A26" s="71"/>
      <c r="B26" s="71"/>
      <c r="C26" s="316"/>
      <c r="D26" s="317"/>
      <c r="E26" s="309"/>
      <c r="F26" s="321"/>
      <c r="G26" s="302"/>
      <c r="H26" s="323"/>
      <c r="I26" s="324"/>
      <c r="J26" s="324"/>
      <c r="K26" s="324"/>
      <c r="L26" s="324"/>
      <c r="M26" s="324"/>
      <c r="N26" s="325"/>
      <c r="O26" s="308"/>
      <c r="P26" s="309"/>
      <c r="Q26" s="35">
        <v>3</v>
      </c>
      <c r="R26" s="312" t="s">
        <v>86</v>
      </c>
      <c r="S26" s="313"/>
      <c r="T26" s="71"/>
      <c r="U26" s="71"/>
      <c r="V26" s="286" t="s">
        <v>10</v>
      </c>
      <c r="W26" s="288" t="s">
        <v>11</v>
      </c>
      <c r="X26" s="290" t="s">
        <v>148</v>
      </c>
      <c r="Y26" s="71"/>
      <c r="Z26" s="71"/>
    </row>
    <row r="27" spans="1:26" ht="16.5" thickBot="1" x14ac:dyDescent="0.3">
      <c r="A27" s="71"/>
      <c r="B27" s="71"/>
      <c r="C27" s="318"/>
      <c r="D27" s="319"/>
      <c r="E27" s="311"/>
      <c r="F27" s="322"/>
      <c r="G27" s="303"/>
      <c r="H27" s="278"/>
      <c r="I27" s="279"/>
      <c r="J27" s="279"/>
      <c r="K27" s="279"/>
      <c r="L27" s="279"/>
      <c r="M27" s="279"/>
      <c r="N27" s="280"/>
      <c r="O27" s="310"/>
      <c r="P27" s="311"/>
      <c r="Q27" s="78">
        <v>4</v>
      </c>
      <c r="R27" s="281"/>
      <c r="S27" s="282"/>
      <c r="T27" s="71"/>
      <c r="U27" s="71"/>
      <c r="V27" s="287"/>
      <c r="W27" s="289"/>
      <c r="X27" s="291"/>
      <c r="Y27" s="71"/>
      <c r="Z27" s="71"/>
    </row>
    <row r="28" spans="1:26" ht="16.5" thickTop="1" x14ac:dyDescent="0.25">
      <c r="A28" s="80"/>
      <c r="B28" s="81"/>
      <c r="C28" s="326" t="s">
        <v>17</v>
      </c>
      <c r="D28" s="327"/>
      <c r="E28" s="327"/>
      <c r="F28" s="328"/>
      <c r="G28" s="332" t="s">
        <v>59</v>
      </c>
      <c r="H28" s="334" t="s">
        <v>60</v>
      </c>
      <c r="I28" s="327"/>
      <c r="J28" s="327"/>
      <c r="K28" s="327"/>
      <c r="L28" s="327"/>
      <c r="M28" s="327"/>
      <c r="N28" s="328"/>
      <c r="O28" s="334" t="s">
        <v>67</v>
      </c>
      <c r="P28" s="328"/>
      <c r="Q28" s="336" t="s">
        <v>98</v>
      </c>
      <c r="R28" s="337"/>
      <c r="S28" s="338"/>
      <c r="T28" s="71"/>
      <c r="U28" s="71"/>
      <c r="V28" s="283" t="s">
        <v>57</v>
      </c>
      <c r="W28" s="284"/>
      <c r="X28" s="285"/>
      <c r="Y28" s="71"/>
      <c r="Z28" s="71"/>
    </row>
    <row r="29" spans="1:26" ht="15.75" x14ac:dyDescent="0.25">
      <c r="A29" s="80"/>
      <c r="B29" s="81"/>
      <c r="C29" s="329"/>
      <c r="D29" s="330"/>
      <c r="E29" s="330"/>
      <c r="F29" s="331"/>
      <c r="G29" s="333"/>
      <c r="H29" s="335"/>
      <c r="I29" s="330"/>
      <c r="J29" s="330"/>
      <c r="K29" s="330"/>
      <c r="L29" s="330"/>
      <c r="M29" s="330"/>
      <c r="N29" s="331"/>
      <c r="O29" s="335"/>
      <c r="P29" s="331"/>
      <c r="Q29" s="339"/>
      <c r="R29" s="340"/>
      <c r="S29" s="341"/>
      <c r="T29" s="71"/>
      <c r="U29" s="71"/>
      <c r="V29" s="72" t="s">
        <v>1</v>
      </c>
      <c r="W29" s="23" t="s">
        <v>9</v>
      </c>
      <c r="X29" s="73" t="s">
        <v>2</v>
      </c>
      <c r="Y29" s="71"/>
      <c r="Z29" s="71"/>
    </row>
    <row r="30" spans="1:26" ht="15.75" x14ac:dyDescent="0.25">
      <c r="A30" s="71"/>
      <c r="B30" s="71"/>
      <c r="C30" s="295" t="s">
        <v>220</v>
      </c>
      <c r="D30" s="296"/>
      <c r="E30" s="296"/>
      <c r="F30" s="297"/>
      <c r="G30" s="301" t="s">
        <v>296</v>
      </c>
      <c r="H30" s="304" t="s">
        <v>231</v>
      </c>
      <c r="I30" s="305"/>
      <c r="J30" s="305"/>
      <c r="K30" s="305"/>
      <c r="L30" s="305"/>
      <c r="M30" s="305"/>
      <c r="N30" s="306"/>
      <c r="O30" s="307" t="s">
        <v>251</v>
      </c>
      <c r="P30" s="297"/>
      <c r="Q30" s="32">
        <v>1</v>
      </c>
      <c r="R30" s="312" t="s">
        <v>54</v>
      </c>
      <c r="S30" s="313"/>
      <c r="T30" s="71"/>
      <c r="U30" s="71"/>
      <c r="V30" s="74">
        <v>1</v>
      </c>
      <c r="W30" s="75">
        <v>3</v>
      </c>
      <c r="X30" s="76">
        <v>3</v>
      </c>
      <c r="Y30" s="71"/>
      <c r="Z30" s="71"/>
    </row>
    <row r="31" spans="1:26" ht="15.75" x14ac:dyDescent="0.25">
      <c r="A31" s="71"/>
      <c r="B31" s="71"/>
      <c r="C31" s="298"/>
      <c r="D31" s="299"/>
      <c r="E31" s="299"/>
      <c r="F31" s="300"/>
      <c r="G31" s="302"/>
      <c r="H31" s="304" t="s">
        <v>236</v>
      </c>
      <c r="I31" s="305"/>
      <c r="J31" s="305"/>
      <c r="K31" s="305"/>
      <c r="L31" s="305"/>
      <c r="M31" s="305"/>
      <c r="N31" s="306"/>
      <c r="O31" s="308"/>
      <c r="P31" s="309"/>
      <c r="Q31" s="30">
        <v>2</v>
      </c>
      <c r="R31" s="312" t="s">
        <v>53</v>
      </c>
      <c r="S31" s="313"/>
      <c r="T31" s="71"/>
      <c r="U31" s="71"/>
      <c r="V31" s="286" t="s">
        <v>10</v>
      </c>
      <c r="W31" s="288" t="s">
        <v>11</v>
      </c>
      <c r="X31" s="290" t="s">
        <v>148</v>
      </c>
      <c r="Y31" s="71"/>
      <c r="Z31" s="71"/>
    </row>
    <row r="32" spans="1:26" ht="16.5" thickBot="1" x14ac:dyDescent="0.3">
      <c r="A32" s="71"/>
      <c r="B32" s="71"/>
      <c r="C32" s="314" t="s">
        <v>55</v>
      </c>
      <c r="D32" s="250"/>
      <c r="E32" s="250"/>
      <c r="F32" s="251"/>
      <c r="G32" s="302"/>
      <c r="H32" s="304" t="s">
        <v>232</v>
      </c>
      <c r="I32" s="305"/>
      <c r="J32" s="305"/>
      <c r="K32" s="305"/>
      <c r="L32" s="305"/>
      <c r="M32" s="305"/>
      <c r="N32" s="306"/>
      <c r="O32" s="308"/>
      <c r="P32" s="309"/>
      <c r="Q32" s="30">
        <v>3</v>
      </c>
      <c r="R32" s="312"/>
      <c r="S32" s="313"/>
      <c r="T32" s="71"/>
      <c r="U32" s="71"/>
      <c r="V32" s="287"/>
      <c r="W32" s="289"/>
      <c r="X32" s="291"/>
      <c r="Y32" s="71"/>
      <c r="Z32" s="71"/>
    </row>
    <row r="33" spans="1:26" ht="17.25" thickTop="1" thickBot="1" x14ac:dyDescent="0.3">
      <c r="A33" s="71"/>
      <c r="B33" s="71"/>
      <c r="C33" s="295" t="s">
        <v>33</v>
      </c>
      <c r="D33" s="296"/>
      <c r="E33" s="296"/>
      <c r="F33" s="297"/>
      <c r="G33" s="302"/>
      <c r="H33" s="304"/>
      <c r="I33" s="305"/>
      <c r="J33" s="305"/>
      <c r="K33" s="305"/>
      <c r="L33" s="305"/>
      <c r="M33" s="305"/>
      <c r="N33" s="306"/>
      <c r="O33" s="308"/>
      <c r="P33" s="309"/>
      <c r="Q33" s="32">
        <v>4</v>
      </c>
      <c r="R33" s="312"/>
      <c r="S33" s="313"/>
      <c r="T33" s="71"/>
      <c r="U33" s="71"/>
      <c r="V33" s="17"/>
      <c r="W33" s="17"/>
      <c r="X33" s="17"/>
      <c r="Y33" s="71"/>
      <c r="Z33" s="71"/>
    </row>
    <row r="34" spans="1:26" ht="16.5" thickTop="1" x14ac:dyDescent="0.25">
      <c r="A34" s="71"/>
      <c r="B34" s="71"/>
      <c r="C34" s="298"/>
      <c r="D34" s="299"/>
      <c r="E34" s="299"/>
      <c r="F34" s="300"/>
      <c r="G34" s="302"/>
      <c r="H34" s="304"/>
      <c r="I34" s="305"/>
      <c r="J34" s="305"/>
      <c r="K34" s="305"/>
      <c r="L34" s="305"/>
      <c r="M34" s="305"/>
      <c r="N34" s="306"/>
      <c r="O34" s="308"/>
      <c r="P34" s="309"/>
      <c r="Q34" s="249" t="s">
        <v>97</v>
      </c>
      <c r="R34" s="250"/>
      <c r="S34" s="315"/>
      <c r="T34" s="71"/>
      <c r="U34" s="71"/>
      <c r="V34" s="292" t="s">
        <v>58</v>
      </c>
      <c r="W34" s="293"/>
      <c r="X34" s="294"/>
      <c r="Y34" s="71"/>
      <c r="Z34" s="71"/>
    </row>
    <row r="35" spans="1:26" ht="15.75" x14ac:dyDescent="0.25">
      <c r="A35" s="71"/>
      <c r="B35" s="71"/>
      <c r="C35" s="314" t="s">
        <v>38</v>
      </c>
      <c r="D35" s="250"/>
      <c r="E35" s="251"/>
      <c r="F35" s="69" t="s">
        <v>40</v>
      </c>
      <c r="G35" s="302"/>
      <c r="H35" s="304"/>
      <c r="I35" s="305"/>
      <c r="J35" s="305"/>
      <c r="K35" s="305"/>
      <c r="L35" s="305"/>
      <c r="M35" s="305"/>
      <c r="N35" s="306"/>
      <c r="O35" s="308"/>
      <c r="P35" s="309"/>
      <c r="Q35" s="38">
        <v>1</v>
      </c>
      <c r="R35" s="312" t="s">
        <v>83</v>
      </c>
      <c r="S35" s="313"/>
      <c r="T35" s="71"/>
      <c r="U35" s="71"/>
      <c r="V35" s="72" t="s">
        <v>1</v>
      </c>
      <c r="W35" s="23" t="s">
        <v>9</v>
      </c>
      <c r="X35" s="77" t="s">
        <v>78</v>
      </c>
      <c r="Y35" s="71"/>
      <c r="Z35" s="71"/>
    </row>
    <row r="36" spans="1:26" ht="15.75" x14ac:dyDescent="0.25">
      <c r="A36" s="71"/>
      <c r="B36" s="71"/>
      <c r="C36" s="295" t="s">
        <v>42</v>
      </c>
      <c r="D36" s="296"/>
      <c r="E36" s="297"/>
      <c r="F36" s="320" t="s">
        <v>260</v>
      </c>
      <c r="G36" s="302"/>
      <c r="H36" s="249" t="s">
        <v>61</v>
      </c>
      <c r="I36" s="250"/>
      <c r="J36" s="250"/>
      <c r="K36" s="250"/>
      <c r="L36" s="250"/>
      <c r="M36" s="250"/>
      <c r="N36" s="251"/>
      <c r="O36" s="308"/>
      <c r="P36" s="309"/>
      <c r="Q36" s="35">
        <v>2</v>
      </c>
      <c r="R36" s="312" t="s">
        <v>93</v>
      </c>
      <c r="S36" s="313"/>
      <c r="T36" s="71"/>
      <c r="U36" s="71"/>
      <c r="V36" s="74">
        <v>1</v>
      </c>
      <c r="W36" s="75">
        <v>3</v>
      </c>
      <c r="X36" s="76">
        <v>3</v>
      </c>
      <c r="Y36" s="71"/>
      <c r="Z36" s="71"/>
    </row>
    <row r="37" spans="1:26" ht="15.75" x14ac:dyDescent="0.25">
      <c r="A37" s="71"/>
      <c r="B37" s="71"/>
      <c r="C37" s="316"/>
      <c r="D37" s="317"/>
      <c r="E37" s="309"/>
      <c r="F37" s="321"/>
      <c r="G37" s="302"/>
      <c r="H37" s="323"/>
      <c r="I37" s="324"/>
      <c r="J37" s="324"/>
      <c r="K37" s="324"/>
      <c r="L37" s="324"/>
      <c r="M37" s="324"/>
      <c r="N37" s="325"/>
      <c r="O37" s="308"/>
      <c r="P37" s="309"/>
      <c r="Q37" s="35">
        <v>3</v>
      </c>
      <c r="R37" s="312"/>
      <c r="S37" s="313"/>
      <c r="T37" s="71"/>
      <c r="U37" s="71"/>
      <c r="V37" s="286" t="s">
        <v>10</v>
      </c>
      <c r="W37" s="288" t="s">
        <v>11</v>
      </c>
      <c r="X37" s="290" t="s">
        <v>148</v>
      </c>
      <c r="Y37" s="71"/>
      <c r="Z37" s="71"/>
    </row>
    <row r="38" spans="1:26" ht="16.5" thickBot="1" x14ac:dyDescent="0.3">
      <c r="A38" s="71"/>
      <c r="B38" s="71"/>
      <c r="C38" s="318"/>
      <c r="D38" s="319"/>
      <c r="E38" s="311"/>
      <c r="F38" s="322"/>
      <c r="G38" s="303"/>
      <c r="H38" s="278"/>
      <c r="I38" s="279"/>
      <c r="J38" s="279"/>
      <c r="K38" s="279"/>
      <c r="L38" s="279"/>
      <c r="M38" s="279"/>
      <c r="N38" s="280"/>
      <c r="O38" s="310"/>
      <c r="P38" s="311"/>
      <c r="Q38" s="78">
        <v>4</v>
      </c>
      <c r="R38" s="281"/>
      <c r="S38" s="282"/>
      <c r="T38" s="71"/>
      <c r="U38" s="71"/>
      <c r="V38" s="287"/>
      <c r="W38" s="289"/>
      <c r="X38" s="291"/>
      <c r="Y38" s="71"/>
      <c r="Z38" s="71"/>
    </row>
    <row r="39" spans="1:26" ht="16.5" thickTop="1" x14ac:dyDescent="0.25">
      <c r="A39" s="79"/>
      <c r="B39" s="71"/>
      <c r="C39" s="326" t="s">
        <v>17</v>
      </c>
      <c r="D39" s="327"/>
      <c r="E39" s="327"/>
      <c r="F39" s="328"/>
      <c r="G39" s="332" t="s">
        <v>59</v>
      </c>
      <c r="H39" s="334" t="s">
        <v>60</v>
      </c>
      <c r="I39" s="327"/>
      <c r="J39" s="327"/>
      <c r="K39" s="327"/>
      <c r="L39" s="327"/>
      <c r="M39" s="327"/>
      <c r="N39" s="328"/>
      <c r="O39" s="334" t="s">
        <v>67</v>
      </c>
      <c r="P39" s="328"/>
      <c r="Q39" s="336" t="s">
        <v>98</v>
      </c>
      <c r="R39" s="337"/>
      <c r="S39" s="338"/>
      <c r="T39" s="71"/>
      <c r="U39" s="71"/>
      <c r="V39" s="283" t="s">
        <v>57</v>
      </c>
      <c r="W39" s="284"/>
      <c r="X39" s="285"/>
      <c r="Y39" s="71"/>
      <c r="Z39" s="71"/>
    </row>
    <row r="40" spans="1:26" ht="15.75" x14ac:dyDescent="0.25">
      <c r="A40" s="79"/>
      <c r="B40" s="71"/>
      <c r="C40" s="329"/>
      <c r="D40" s="330"/>
      <c r="E40" s="330"/>
      <c r="F40" s="331"/>
      <c r="G40" s="333"/>
      <c r="H40" s="335"/>
      <c r="I40" s="330"/>
      <c r="J40" s="330"/>
      <c r="K40" s="330"/>
      <c r="L40" s="330"/>
      <c r="M40" s="330"/>
      <c r="N40" s="331"/>
      <c r="O40" s="335"/>
      <c r="P40" s="331"/>
      <c r="Q40" s="339"/>
      <c r="R40" s="340"/>
      <c r="S40" s="341"/>
      <c r="T40" s="71"/>
      <c r="U40" s="71"/>
      <c r="V40" s="72" t="s">
        <v>1</v>
      </c>
      <c r="W40" s="23" t="s">
        <v>9</v>
      </c>
      <c r="X40" s="73" t="s">
        <v>2</v>
      </c>
      <c r="Y40" s="71"/>
      <c r="Z40" s="71"/>
    </row>
    <row r="41" spans="1:26" ht="15.75" x14ac:dyDescent="0.25">
      <c r="A41" s="71"/>
      <c r="B41" s="71"/>
      <c r="C41" s="295" t="s">
        <v>221</v>
      </c>
      <c r="D41" s="296"/>
      <c r="E41" s="296"/>
      <c r="F41" s="297"/>
      <c r="G41" s="301" t="s">
        <v>210</v>
      </c>
      <c r="H41" s="304" t="s">
        <v>231</v>
      </c>
      <c r="I41" s="305"/>
      <c r="J41" s="305"/>
      <c r="K41" s="305"/>
      <c r="L41" s="305"/>
      <c r="M41" s="305"/>
      <c r="N41" s="306"/>
      <c r="O41" s="307" t="s">
        <v>251</v>
      </c>
      <c r="P41" s="297"/>
      <c r="Q41" s="32">
        <v>1</v>
      </c>
      <c r="R41" s="312" t="s">
        <v>54</v>
      </c>
      <c r="S41" s="313"/>
      <c r="T41" s="71"/>
      <c r="U41" s="71"/>
      <c r="V41" s="74">
        <v>1</v>
      </c>
      <c r="W41" s="75">
        <v>3</v>
      </c>
      <c r="X41" s="76">
        <v>3</v>
      </c>
      <c r="Y41" s="71"/>
      <c r="Z41" s="71"/>
    </row>
    <row r="42" spans="1:26" ht="15.75" x14ac:dyDescent="0.25">
      <c r="A42" s="71"/>
      <c r="B42" s="71"/>
      <c r="C42" s="298"/>
      <c r="D42" s="299"/>
      <c r="E42" s="299"/>
      <c r="F42" s="300"/>
      <c r="G42" s="302"/>
      <c r="H42" s="304" t="s">
        <v>236</v>
      </c>
      <c r="I42" s="305"/>
      <c r="J42" s="305"/>
      <c r="K42" s="305"/>
      <c r="L42" s="305"/>
      <c r="M42" s="305"/>
      <c r="N42" s="306"/>
      <c r="O42" s="308"/>
      <c r="P42" s="309"/>
      <c r="Q42" s="30">
        <v>2</v>
      </c>
      <c r="R42" s="312" t="s">
        <v>51</v>
      </c>
      <c r="S42" s="313"/>
      <c r="T42" s="71"/>
      <c r="U42" s="71"/>
      <c r="V42" s="286" t="s">
        <v>10</v>
      </c>
      <c r="W42" s="288" t="s">
        <v>11</v>
      </c>
      <c r="X42" s="290" t="s">
        <v>148</v>
      </c>
      <c r="Y42" s="71"/>
      <c r="Z42" s="71"/>
    </row>
    <row r="43" spans="1:26" ht="16.5" thickBot="1" x14ac:dyDescent="0.3">
      <c r="A43" s="71"/>
      <c r="B43" s="71"/>
      <c r="C43" s="314" t="s">
        <v>55</v>
      </c>
      <c r="D43" s="250"/>
      <c r="E43" s="250"/>
      <c r="F43" s="251"/>
      <c r="G43" s="302"/>
      <c r="H43" s="304" t="s">
        <v>239</v>
      </c>
      <c r="I43" s="305"/>
      <c r="J43" s="305"/>
      <c r="K43" s="305"/>
      <c r="L43" s="305"/>
      <c r="M43" s="305"/>
      <c r="N43" s="306"/>
      <c r="O43" s="308"/>
      <c r="P43" s="309"/>
      <c r="Q43" s="30">
        <v>3</v>
      </c>
      <c r="R43" s="312"/>
      <c r="S43" s="313"/>
      <c r="T43" s="71"/>
      <c r="U43" s="71"/>
      <c r="V43" s="287"/>
      <c r="W43" s="289"/>
      <c r="X43" s="291"/>
      <c r="Y43" s="71"/>
      <c r="Z43" s="71"/>
    </row>
    <row r="44" spans="1:26" ht="17.25" thickTop="1" thickBot="1" x14ac:dyDescent="0.3">
      <c r="A44" s="71"/>
      <c r="B44" s="71"/>
      <c r="C44" s="295" t="s">
        <v>33</v>
      </c>
      <c r="D44" s="296"/>
      <c r="E44" s="296"/>
      <c r="F44" s="297"/>
      <c r="G44" s="302"/>
      <c r="H44" s="304" t="s">
        <v>232</v>
      </c>
      <c r="I44" s="305"/>
      <c r="J44" s="305"/>
      <c r="K44" s="305"/>
      <c r="L44" s="305"/>
      <c r="M44" s="305"/>
      <c r="N44" s="306"/>
      <c r="O44" s="308"/>
      <c r="P44" s="309"/>
      <c r="Q44" s="32">
        <v>4</v>
      </c>
      <c r="R44" s="312"/>
      <c r="S44" s="313"/>
      <c r="T44" s="71"/>
      <c r="U44" s="71"/>
      <c r="V44" s="17"/>
      <c r="W44" s="17"/>
      <c r="X44" s="17"/>
      <c r="Y44" s="71"/>
      <c r="Z44" s="71"/>
    </row>
    <row r="45" spans="1:26" ht="16.5" thickTop="1" x14ac:dyDescent="0.25">
      <c r="A45" s="71"/>
      <c r="B45" s="71"/>
      <c r="C45" s="298"/>
      <c r="D45" s="299"/>
      <c r="E45" s="299"/>
      <c r="F45" s="300"/>
      <c r="G45" s="302"/>
      <c r="H45" s="304" t="s">
        <v>234</v>
      </c>
      <c r="I45" s="305"/>
      <c r="J45" s="305"/>
      <c r="K45" s="305"/>
      <c r="L45" s="305"/>
      <c r="M45" s="305"/>
      <c r="N45" s="306"/>
      <c r="O45" s="308"/>
      <c r="P45" s="309"/>
      <c r="Q45" s="249" t="s">
        <v>97</v>
      </c>
      <c r="R45" s="250"/>
      <c r="S45" s="315"/>
      <c r="T45" s="71"/>
      <c r="U45" s="71"/>
      <c r="V45" s="292" t="s">
        <v>58</v>
      </c>
      <c r="W45" s="293"/>
      <c r="X45" s="294"/>
      <c r="Y45" s="71"/>
      <c r="Z45" s="71"/>
    </row>
    <row r="46" spans="1:26" ht="15.75" x14ac:dyDescent="0.25">
      <c r="A46" s="71"/>
      <c r="B46" s="71"/>
      <c r="C46" s="314" t="s">
        <v>38</v>
      </c>
      <c r="D46" s="250"/>
      <c r="E46" s="251"/>
      <c r="F46" s="69" t="s">
        <v>40</v>
      </c>
      <c r="G46" s="302"/>
      <c r="H46" s="304"/>
      <c r="I46" s="305"/>
      <c r="J46" s="305"/>
      <c r="K46" s="305"/>
      <c r="L46" s="305"/>
      <c r="M46" s="305"/>
      <c r="N46" s="306"/>
      <c r="O46" s="308"/>
      <c r="P46" s="309"/>
      <c r="Q46" s="38">
        <v>1</v>
      </c>
      <c r="R46" s="312" t="s">
        <v>93</v>
      </c>
      <c r="S46" s="313"/>
      <c r="T46" s="71"/>
      <c r="U46" s="71"/>
      <c r="V46" s="72" t="s">
        <v>1</v>
      </c>
      <c r="W46" s="23" t="s">
        <v>9</v>
      </c>
      <c r="X46" s="77" t="s">
        <v>78</v>
      </c>
      <c r="Y46" s="71"/>
      <c r="Z46" s="71"/>
    </row>
    <row r="47" spans="1:26" ht="15.75" x14ac:dyDescent="0.25">
      <c r="A47" s="71"/>
      <c r="B47" s="71"/>
      <c r="C47" s="295" t="s">
        <v>43</v>
      </c>
      <c r="D47" s="296"/>
      <c r="E47" s="297"/>
      <c r="F47" s="320" t="s">
        <v>261</v>
      </c>
      <c r="G47" s="302"/>
      <c r="H47" s="249" t="s">
        <v>61</v>
      </c>
      <c r="I47" s="250"/>
      <c r="J47" s="250"/>
      <c r="K47" s="250"/>
      <c r="L47" s="250"/>
      <c r="M47" s="250"/>
      <c r="N47" s="251"/>
      <c r="O47" s="308"/>
      <c r="P47" s="309"/>
      <c r="Q47" s="35">
        <v>2</v>
      </c>
      <c r="R47" s="312" t="s">
        <v>83</v>
      </c>
      <c r="S47" s="313"/>
      <c r="T47" s="71"/>
      <c r="U47" s="71"/>
      <c r="V47" s="74">
        <v>1</v>
      </c>
      <c r="W47" s="75">
        <v>3</v>
      </c>
      <c r="X47" s="76">
        <v>3</v>
      </c>
      <c r="Y47" s="71"/>
      <c r="Z47" s="71"/>
    </row>
    <row r="48" spans="1:26" ht="15.75" x14ac:dyDescent="0.25">
      <c r="A48" s="71"/>
      <c r="B48" s="71"/>
      <c r="C48" s="316"/>
      <c r="D48" s="317"/>
      <c r="E48" s="309"/>
      <c r="F48" s="321"/>
      <c r="G48" s="302"/>
      <c r="H48" s="323"/>
      <c r="I48" s="324"/>
      <c r="J48" s="324"/>
      <c r="K48" s="324"/>
      <c r="L48" s="324"/>
      <c r="M48" s="324"/>
      <c r="N48" s="325"/>
      <c r="O48" s="308"/>
      <c r="P48" s="309"/>
      <c r="Q48" s="35">
        <v>3</v>
      </c>
      <c r="R48" s="312" t="s">
        <v>85</v>
      </c>
      <c r="S48" s="313"/>
      <c r="T48" s="71"/>
      <c r="U48" s="71"/>
      <c r="V48" s="286" t="s">
        <v>10</v>
      </c>
      <c r="W48" s="288" t="s">
        <v>11</v>
      </c>
      <c r="X48" s="290" t="s">
        <v>148</v>
      </c>
      <c r="Y48" s="71"/>
      <c r="Z48" s="71"/>
    </row>
    <row r="49" spans="1:26" ht="16.5" thickBot="1" x14ac:dyDescent="0.3">
      <c r="A49" s="71"/>
      <c r="B49" s="71"/>
      <c r="C49" s="318"/>
      <c r="D49" s="319"/>
      <c r="E49" s="311"/>
      <c r="F49" s="322"/>
      <c r="G49" s="303"/>
      <c r="H49" s="278"/>
      <c r="I49" s="279"/>
      <c r="J49" s="279"/>
      <c r="K49" s="279"/>
      <c r="L49" s="279"/>
      <c r="M49" s="279"/>
      <c r="N49" s="280"/>
      <c r="O49" s="310"/>
      <c r="P49" s="311"/>
      <c r="Q49" s="78">
        <v>4</v>
      </c>
      <c r="R49" s="281"/>
      <c r="S49" s="282"/>
      <c r="T49" s="71"/>
      <c r="U49" s="71"/>
      <c r="V49" s="287"/>
      <c r="W49" s="289"/>
      <c r="X49" s="291"/>
      <c r="Y49" s="71"/>
      <c r="Z49" s="71"/>
    </row>
    <row r="50" spans="1:26" ht="16.5" thickTop="1" x14ac:dyDescent="0.25">
      <c r="A50" s="71"/>
      <c r="B50" s="71"/>
      <c r="C50" s="326" t="s">
        <v>17</v>
      </c>
      <c r="D50" s="327"/>
      <c r="E50" s="327"/>
      <c r="F50" s="328"/>
      <c r="G50" s="332" t="s">
        <v>59</v>
      </c>
      <c r="H50" s="334" t="s">
        <v>60</v>
      </c>
      <c r="I50" s="327"/>
      <c r="J50" s="327"/>
      <c r="K50" s="327"/>
      <c r="L50" s="327"/>
      <c r="M50" s="327"/>
      <c r="N50" s="328"/>
      <c r="O50" s="334" t="s">
        <v>67</v>
      </c>
      <c r="P50" s="328"/>
      <c r="Q50" s="336" t="s">
        <v>98</v>
      </c>
      <c r="R50" s="337"/>
      <c r="S50" s="338"/>
      <c r="T50" s="71"/>
      <c r="U50" s="71"/>
      <c r="V50" s="283" t="s">
        <v>57</v>
      </c>
      <c r="W50" s="284"/>
      <c r="X50" s="285"/>
      <c r="Y50" s="71"/>
      <c r="Z50" s="71"/>
    </row>
    <row r="51" spans="1:26" ht="15.75" x14ac:dyDescent="0.25">
      <c r="A51" s="71"/>
      <c r="B51" s="71"/>
      <c r="C51" s="329"/>
      <c r="D51" s="330"/>
      <c r="E51" s="330"/>
      <c r="F51" s="331"/>
      <c r="G51" s="333"/>
      <c r="H51" s="335"/>
      <c r="I51" s="330"/>
      <c r="J51" s="330"/>
      <c r="K51" s="330"/>
      <c r="L51" s="330"/>
      <c r="M51" s="330"/>
      <c r="N51" s="331"/>
      <c r="O51" s="335"/>
      <c r="P51" s="331"/>
      <c r="Q51" s="339"/>
      <c r="R51" s="340"/>
      <c r="S51" s="341"/>
      <c r="T51" s="71"/>
      <c r="U51" s="71"/>
      <c r="V51" s="72" t="s">
        <v>1</v>
      </c>
      <c r="W51" s="23" t="s">
        <v>9</v>
      </c>
      <c r="X51" s="73" t="s">
        <v>2</v>
      </c>
      <c r="Y51" s="71"/>
      <c r="Z51" s="71"/>
    </row>
    <row r="52" spans="1:26" ht="15.75" x14ac:dyDescent="0.25">
      <c r="A52" s="71"/>
      <c r="B52" s="71"/>
      <c r="C52" s="295" t="s">
        <v>169</v>
      </c>
      <c r="D52" s="296"/>
      <c r="E52" s="296"/>
      <c r="F52" s="297"/>
      <c r="G52" s="301" t="s">
        <v>211</v>
      </c>
      <c r="H52" s="304" t="s">
        <v>231</v>
      </c>
      <c r="I52" s="305"/>
      <c r="J52" s="305"/>
      <c r="K52" s="305"/>
      <c r="L52" s="305"/>
      <c r="M52" s="305"/>
      <c r="N52" s="306"/>
      <c r="O52" s="307" t="s">
        <v>251</v>
      </c>
      <c r="P52" s="297"/>
      <c r="Q52" s="32">
        <v>1</v>
      </c>
      <c r="R52" s="312" t="s">
        <v>54</v>
      </c>
      <c r="S52" s="313"/>
      <c r="T52" s="71"/>
      <c r="U52" s="71"/>
      <c r="V52" s="74">
        <v>2</v>
      </c>
      <c r="W52" s="75">
        <v>3</v>
      </c>
      <c r="X52" s="76">
        <v>6</v>
      </c>
      <c r="Y52" s="71"/>
      <c r="Z52" s="71"/>
    </row>
    <row r="53" spans="1:26" ht="15.75" x14ac:dyDescent="0.25">
      <c r="A53" s="71"/>
      <c r="B53" s="71"/>
      <c r="C53" s="298"/>
      <c r="D53" s="299"/>
      <c r="E53" s="299"/>
      <c r="F53" s="300"/>
      <c r="G53" s="302"/>
      <c r="H53" s="304" t="s">
        <v>236</v>
      </c>
      <c r="I53" s="305"/>
      <c r="J53" s="305"/>
      <c r="K53" s="305"/>
      <c r="L53" s="305"/>
      <c r="M53" s="305"/>
      <c r="N53" s="306"/>
      <c r="O53" s="308"/>
      <c r="P53" s="309"/>
      <c r="Q53" s="30">
        <v>2</v>
      </c>
      <c r="R53" s="312" t="s">
        <v>53</v>
      </c>
      <c r="S53" s="313"/>
      <c r="T53" s="71"/>
      <c r="U53" s="71"/>
      <c r="V53" s="286" t="s">
        <v>145</v>
      </c>
      <c r="W53" s="288" t="s">
        <v>11</v>
      </c>
      <c r="X53" s="290" t="s">
        <v>150</v>
      </c>
      <c r="Y53" s="71"/>
      <c r="Z53" s="71"/>
    </row>
    <row r="54" spans="1:26" ht="16.5" thickBot="1" x14ac:dyDescent="0.3">
      <c r="A54" s="71"/>
      <c r="B54" s="71"/>
      <c r="C54" s="314" t="s">
        <v>55</v>
      </c>
      <c r="D54" s="250"/>
      <c r="E54" s="250"/>
      <c r="F54" s="251"/>
      <c r="G54" s="302"/>
      <c r="H54" s="304" t="s">
        <v>154</v>
      </c>
      <c r="I54" s="305"/>
      <c r="J54" s="305"/>
      <c r="K54" s="305"/>
      <c r="L54" s="305"/>
      <c r="M54" s="305"/>
      <c r="N54" s="306"/>
      <c r="O54" s="308"/>
      <c r="P54" s="309"/>
      <c r="Q54" s="30">
        <v>3</v>
      </c>
      <c r="R54" s="312" t="s">
        <v>51</v>
      </c>
      <c r="S54" s="313"/>
      <c r="T54" s="71"/>
      <c r="U54" s="71"/>
      <c r="V54" s="287"/>
      <c r="W54" s="289"/>
      <c r="X54" s="291"/>
      <c r="Y54" s="71"/>
      <c r="Z54" s="71"/>
    </row>
    <row r="55" spans="1:26" ht="17.25" thickTop="1" thickBot="1" x14ac:dyDescent="0.3">
      <c r="A55" s="71"/>
      <c r="B55" s="71"/>
      <c r="C55" s="295" t="s">
        <v>33</v>
      </c>
      <c r="D55" s="296"/>
      <c r="E55" s="296"/>
      <c r="F55" s="297"/>
      <c r="G55" s="302"/>
      <c r="H55" s="304" t="s">
        <v>239</v>
      </c>
      <c r="I55" s="305"/>
      <c r="J55" s="305"/>
      <c r="K55" s="305"/>
      <c r="L55" s="305"/>
      <c r="M55" s="305"/>
      <c r="N55" s="306"/>
      <c r="O55" s="308"/>
      <c r="P55" s="309"/>
      <c r="Q55" s="32">
        <v>4</v>
      </c>
      <c r="R55" s="312" t="s">
        <v>8</v>
      </c>
      <c r="S55" s="313"/>
      <c r="T55" s="71"/>
      <c r="U55" s="71"/>
      <c r="V55" s="17"/>
      <c r="W55" s="17"/>
      <c r="X55" s="17"/>
      <c r="Y55" s="71"/>
      <c r="Z55" s="71"/>
    </row>
    <row r="56" spans="1:26" ht="16.5" thickTop="1" x14ac:dyDescent="0.25">
      <c r="A56" s="71"/>
      <c r="B56" s="71"/>
      <c r="C56" s="298"/>
      <c r="D56" s="299"/>
      <c r="E56" s="299"/>
      <c r="F56" s="300"/>
      <c r="G56" s="302"/>
      <c r="H56" s="304"/>
      <c r="I56" s="305"/>
      <c r="J56" s="305"/>
      <c r="K56" s="305"/>
      <c r="L56" s="305"/>
      <c r="M56" s="305"/>
      <c r="N56" s="306"/>
      <c r="O56" s="308"/>
      <c r="P56" s="309"/>
      <c r="Q56" s="249" t="s">
        <v>97</v>
      </c>
      <c r="R56" s="250"/>
      <c r="S56" s="315"/>
      <c r="T56" s="71"/>
      <c r="U56" s="71"/>
      <c r="V56" s="292" t="s">
        <v>58</v>
      </c>
      <c r="W56" s="293"/>
      <c r="X56" s="294"/>
      <c r="Y56" s="71"/>
      <c r="Z56" s="71"/>
    </row>
    <row r="57" spans="1:26" ht="15.75" x14ac:dyDescent="0.25">
      <c r="A57" s="71"/>
      <c r="B57" s="71"/>
      <c r="C57" s="314" t="s">
        <v>38</v>
      </c>
      <c r="D57" s="250"/>
      <c r="E57" s="251"/>
      <c r="F57" s="69" t="s">
        <v>40</v>
      </c>
      <c r="G57" s="302"/>
      <c r="H57" s="304"/>
      <c r="I57" s="305"/>
      <c r="J57" s="305"/>
      <c r="K57" s="305"/>
      <c r="L57" s="305"/>
      <c r="M57" s="305"/>
      <c r="N57" s="306"/>
      <c r="O57" s="308"/>
      <c r="P57" s="309"/>
      <c r="Q57" s="38">
        <v>1</v>
      </c>
      <c r="R57" s="312" t="s">
        <v>93</v>
      </c>
      <c r="S57" s="313"/>
      <c r="T57" s="71"/>
      <c r="U57" s="71"/>
      <c r="V57" s="72" t="s">
        <v>1</v>
      </c>
      <c r="W57" s="23" t="s">
        <v>9</v>
      </c>
      <c r="X57" s="77" t="s">
        <v>78</v>
      </c>
      <c r="Y57" s="71"/>
      <c r="Z57" s="71"/>
    </row>
    <row r="58" spans="1:26" ht="15.75" x14ac:dyDescent="0.25">
      <c r="A58" s="71"/>
      <c r="B58" s="71"/>
      <c r="C58" s="295" t="s">
        <v>45</v>
      </c>
      <c r="D58" s="296"/>
      <c r="E58" s="297"/>
      <c r="F58" s="320" t="s">
        <v>262</v>
      </c>
      <c r="G58" s="302"/>
      <c r="H58" s="249" t="s">
        <v>61</v>
      </c>
      <c r="I58" s="250"/>
      <c r="J58" s="250"/>
      <c r="K58" s="250"/>
      <c r="L58" s="250"/>
      <c r="M58" s="250"/>
      <c r="N58" s="251"/>
      <c r="O58" s="308"/>
      <c r="P58" s="309"/>
      <c r="Q58" s="35">
        <v>2</v>
      </c>
      <c r="R58" s="312" t="s">
        <v>83</v>
      </c>
      <c r="S58" s="313"/>
      <c r="T58" s="71"/>
      <c r="U58" s="71"/>
      <c r="V58" s="74">
        <v>1</v>
      </c>
      <c r="W58" s="75">
        <v>3</v>
      </c>
      <c r="X58" s="76">
        <v>3</v>
      </c>
      <c r="Y58" s="71"/>
      <c r="Z58" s="71"/>
    </row>
    <row r="59" spans="1:26" ht="15.75" x14ac:dyDescent="0.25">
      <c r="A59" s="71"/>
      <c r="B59" s="71"/>
      <c r="C59" s="316"/>
      <c r="D59" s="317"/>
      <c r="E59" s="309"/>
      <c r="F59" s="321"/>
      <c r="G59" s="302"/>
      <c r="H59" s="323"/>
      <c r="I59" s="324"/>
      <c r="J59" s="324"/>
      <c r="K59" s="324"/>
      <c r="L59" s="324"/>
      <c r="M59" s="324"/>
      <c r="N59" s="325"/>
      <c r="O59" s="308"/>
      <c r="P59" s="309"/>
      <c r="Q59" s="35">
        <v>3</v>
      </c>
      <c r="R59" s="312" t="s">
        <v>85</v>
      </c>
      <c r="S59" s="313"/>
      <c r="T59" s="71"/>
      <c r="U59" s="71"/>
      <c r="V59" s="286" t="s">
        <v>10</v>
      </c>
      <c r="W59" s="288" t="s">
        <v>11</v>
      </c>
      <c r="X59" s="290" t="s">
        <v>148</v>
      </c>
      <c r="Y59" s="71"/>
      <c r="Z59" s="71"/>
    </row>
    <row r="60" spans="1:26" ht="16.5" thickBot="1" x14ac:dyDescent="0.3">
      <c r="A60" s="71"/>
      <c r="B60" s="71"/>
      <c r="C60" s="318"/>
      <c r="D60" s="319"/>
      <c r="E60" s="311"/>
      <c r="F60" s="322"/>
      <c r="G60" s="303"/>
      <c r="H60" s="278"/>
      <c r="I60" s="279"/>
      <c r="J60" s="279"/>
      <c r="K60" s="279"/>
      <c r="L60" s="279"/>
      <c r="M60" s="279"/>
      <c r="N60" s="280"/>
      <c r="O60" s="310"/>
      <c r="P60" s="311"/>
      <c r="Q60" s="78">
        <v>4</v>
      </c>
      <c r="R60" s="281"/>
      <c r="S60" s="282"/>
      <c r="T60" s="71"/>
      <c r="U60" s="71"/>
      <c r="V60" s="287"/>
      <c r="W60" s="289"/>
      <c r="X60" s="291"/>
      <c r="Y60" s="71"/>
      <c r="Z60" s="71"/>
    </row>
    <row r="61" spans="1:26" ht="16.5" thickTop="1" x14ac:dyDescent="0.25">
      <c r="A61" s="71"/>
      <c r="B61" s="71"/>
      <c r="C61" s="326" t="s">
        <v>17</v>
      </c>
      <c r="D61" s="327"/>
      <c r="E61" s="327"/>
      <c r="F61" s="328"/>
      <c r="G61" s="332" t="s">
        <v>59</v>
      </c>
      <c r="H61" s="334" t="s">
        <v>60</v>
      </c>
      <c r="I61" s="327"/>
      <c r="J61" s="327"/>
      <c r="K61" s="327"/>
      <c r="L61" s="327"/>
      <c r="M61" s="327"/>
      <c r="N61" s="328"/>
      <c r="O61" s="334" t="s">
        <v>67</v>
      </c>
      <c r="P61" s="328"/>
      <c r="Q61" s="336" t="s">
        <v>98</v>
      </c>
      <c r="R61" s="337"/>
      <c r="S61" s="338"/>
      <c r="T61" s="71"/>
      <c r="U61" s="71"/>
      <c r="V61" s="283" t="s">
        <v>57</v>
      </c>
      <c r="W61" s="284"/>
      <c r="X61" s="285"/>
      <c r="Y61" s="71"/>
      <c r="Z61" s="71"/>
    </row>
    <row r="62" spans="1:26" ht="15.75" x14ac:dyDescent="0.25">
      <c r="A62" s="71"/>
      <c r="B62" s="71"/>
      <c r="C62" s="329"/>
      <c r="D62" s="330"/>
      <c r="E62" s="330"/>
      <c r="F62" s="331"/>
      <c r="G62" s="333"/>
      <c r="H62" s="335"/>
      <c r="I62" s="330"/>
      <c r="J62" s="330"/>
      <c r="K62" s="330"/>
      <c r="L62" s="330"/>
      <c r="M62" s="330"/>
      <c r="N62" s="331"/>
      <c r="O62" s="335"/>
      <c r="P62" s="331"/>
      <c r="Q62" s="339"/>
      <c r="R62" s="340"/>
      <c r="S62" s="341"/>
      <c r="T62" s="71"/>
      <c r="U62" s="71"/>
      <c r="V62" s="72" t="s">
        <v>1</v>
      </c>
      <c r="W62" s="23" t="s">
        <v>9</v>
      </c>
      <c r="X62" s="73" t="s">
        <v>2</v>
      </c>
      <c r="Y62" s="71"/>
      <c r="Z62" s="71"/>
    </row>
    <row r="63" spans="1:26" ht="15.75" x14ac:dyDescent="0.25">
      <c r="A63" s="71"/>
      <c r="B63" s="71"/>
      <c r="C63" s="295" t="s">
        <v>221</v>
      </c>
      <c r="D63" s="296"/>
      <c r="E63" s="296"/>
      <c r="F63" s="297"/>
      <c r="G63" s="301" t="s">
        <v>295</v>
      </c>
      <c r="H63" s="304" t="s">
        <v>231</v>
      </c>
      <c r="I63" s="305"/>
      <c r="J63" s="305"/>
      <c r="K63" s="305"/>
      <c r="L63" s="305"/>
      <c r="M63" s="305"/>
      <c r="N63" s="306"/>
      <c r="O63" s="307" t="s">
        <v>251</v>
      </c>
      <c r="P63" s="297"/>
      <c r="Q63" s="32">
        <v>1</v>
      </c>
      <c r="R63" s="312" t="s">
        <v>54</v>
      </c>
      <c r="S63" s="313"/>
      <c r="T63" s="71"/>
      <c r="U63" s="71"/>
      <c r="V63" s="74">
        <v>1</v>
      </c>
      <c r="W63" s="75">
        <v>3</v>
      </c>
      <c r="X63" s="76">
        <v>3</v>
      </c>
      <c r="Y63" s="71"/>
      <c r="Z63" s="71"/>
    </row>
    <row r="64" spans="1:26" ht="15.75" x14ac:dyDescent="0.25">
      <c r="A64" s="71"/>
      <c r="B64" s="71"/>
      <c r="C64" s="298"/>
      <c r="D64" s="299"/>
      <c r="E64" s="299"/>
      <c r="F64" s="300"/>
      <c r="G64" s="302"/>
      <c r="H64" s="304" t="s">
        <v>239</v>
      </c>
      <c r="I64" s="305"/>
      <c r="J64" s="305"/>
      <c r="K64" s="305"/>
      <c r="L64" s="305"/>
      <c r="M64" s="305"/>
      <c r="N64" s="306"/>
      <c r="O64" s="308"/>
      <c r="P64" s="309"/>
      <c r="Q64" s="30">
        <v>2</v>
      </c>
      <c r="R64" s="312" t="s">
        <v>53</v>
      </c>
      <c r="S64" s="313"/>
      <c r="T64" s="71"/>
      <c r="U64" s="71"/>
      <c r="V64" s="286" t="s">
        <v>10</v>
      </c>
      <c r="W64" s="288" t="s">
        <v>11</v>
      </c>
      <c r="X64" s="290" t="s">
        <v>148</v>
      </c>
      <c r="Y64" s="71"/>
      <c r="Z64" s="71"/>
    </row>
    <row r="65" spans="1:26" ht="16.5" thickBot="1" x14ac:dyDescent="0.3">
      <c r="A65" s="71"/>
      <c r="B65" s="71"/>
      <c r="C65" s="314" t="s">
        <v>55</v>
      </c>
      <c r="D65" s="250"/>
      <c r="E65" s="250"/>
      <c r="F65" s="251"/>
      <c r="G65" s="302"/>
      <c r="H65" s="304" t="s">
        <v>240</v>
      </c>
      <c r="I65" s="305"/>
      <c r="J65" s="305"/>
      <c r="K65" s="305"/>
      <c r="L65" s="305"/>
      <c r="M65" s="305"/>
      <c r="N65" s="306"/>
      <c r="O65" s="308"/>
      <c r="P65" s="309"/>
      <c r="Q65" s="30">
        <v>3</v>
      </c>
      <c r="R65" s="312" t="s">
        <v>51</v>
      </c>
      <c r="S65" s="313"/>
      <c r="T65" s="71"/>
      <c r="U65" s="71"/>
      <c r="V65" s="287"/>
      <c r="W65" s="289"/>
      <c r="X65" s="291"/>
      <c r="Y65" s="71"/>
      <c r="Z65" s="71"/>
    </row>
    <row r="66" spans="1:26" ht="17.25" thickTop="1" thickBot="1" x14ac:dyDescent="0.3">
      <c r="A66" s="71"/>
      <c r="B66" s="71"/>
      <c r="C66" s="295" t="s">
        <v>33</v>
      </c>
      <c r="D66" s="296"/>
      <c r="E66" s="296"/>
      <c r="F66" s="297"/>
      <c r="G66" s="302"/>
      <c r="H66" s="304"/>
      <c r="I66" s="305"/>
      <c r="J66" s="305"/>
      <c r="K66" s="305"/>
      <c r="L66" s="305"/>
      <c r="M66" s="305"/>
      <c r="N66" s="306"/>
      <c r="O66" s="308"/>
      <c r="P66" s="309"/>
      <c r="Q66" s="32">
        <v>4</v>
      </c>
      <c r="R66" s="312" t="s">
        <v>8</v>
      </c>
      <c r="S66" s="313"/>
      <c r="T66" s="71"/>
      <c r="U66" s="71"/>
      <c r="V66" s="17"/>
      <c r="W66" s="17"/>
      <c r="X66" s="17"/>
      <c r="Y66" s="71"/>
      <c r="Z66" s="71"/>
    </row>
    <row r="67" spans="1:26" ht="16.5" thickTop="1" x14ac:dyDescent="0.25">
      <c r="A67" s="71"/>
      <c r="B67" s="71"/>
      <c r="C67" s="298"/>
      <c r="D67" s="299"/>
      <c r="E67" s="299"/>
      <c r="F67" s="300"/>
      <c r="G67" s="302"/>
      <c r="H67" s="304"/>
      <c r="I67" s="305"/>
      <c r="J67" s="305"/>
      <c r="K67" s="305"/>
      <c r="L67" s="305"/>
      <c r="M67" s="305"/>
      <c r="N67" s="306"/>
      <c r="O67" s="308"/>
      <c r="P67" s="309"/>
      <c r="Q67" s="249" t="s">
        <v>97</v>
      </c>
      <c r="R67" s="250"/>
      <c r="S67" s="315"/>
      <c r="T67" s="71"/>
      <c r="U67" s="71"/>
      <c r="V67" s="292" t="s">
        <v>58</v>
      </c>
      <c r="W67" s="293"/>
      <c r="X67" s="294"/>
      <c r="Y67" s="71"/>
      <c r="Z67" s="71"/>
    </row>
    <row r="68" spans="1:26" ht="15.75" x14ac:dyDescent="0.25">
      <c r="A68" s="71"/>
      <c r="B68" s="71"/>
      <c r="C68" s="314" t="s">
        <v>38</v>
      </c>
      <c r="D68" s="250"/>
      <c r="E68" s="251"/>
      <c r="F68" s="69" t="s">
        <v>40</v>
      </c>
      <c r="G68" s="302"/>
      <c r="H68" s="304"/>
      <c r="I68" s="305"/>
      <c r="J68" s="305"/>
      <c r="K68" s="305"/>
      <c r="L68" s="305"/>
      <c r="M68" s="305"/>
      <c r="N68" s="306"/>
      <c r="O68" s="308"/>
      <c r="P68" s="309"/>
      <c r="Q68" s="38">
        <v>1</v>
      </c>
      <c r="R68" s="312" t="s">
        <v>81</v>
      </c>
      <c r="S68" s="313"/>
      <c r="T68" s="71"/>
      <c r="U68" s="71"/>
      <c r="V68" s="72" t="s">
        <v>1</v>
      </c>
      <c r="W68" s="23" t="s">
        <v>9</v>
      </c>
      <c r="X68" s="77" t="s">
        <v>78</v>
      </c>
      <c r="Y68" s="71"/>
      <c r="Z68" s="71"/>
    </row>
    <row r="69" spans="1:26" ht="15.75" x14ac:dyDescent="0.25">
      <c r="A69" s="71"/>
      <c r="B69" s="71"/>
      <c r="C69" s="295" t="s">
        <v>39</v>
      </c>
      <c r="D69" s="296"/>
      <c r="E69" s="297"/>
      <c r="F69" s="320" t="s">
        <v>264</v>
      </c>
      <c r="G69" s="302"/>
      <c r="H69" s="249" t="s">
        <v>61</v>
      </c>
      <c r="I69" s="250"/>
      <c r="J69" s="250"/>
      <c r="K69" s="250"/>
      <c r="L69" s="250"/>
      <c r="M69" s="250"/>
      <c r="N69" s="251"/>
      <c r="O69" s="308"/>
      <c r="P69" s="309"/>
      <c r="Q69" s="35">
        <v>2</v>
      </c>
      <c r="R69" s="312" t="s">
        <v>93</v>
      </c>
      <c r="S69" s="313"/>
      <c r="T69" s="71"/>
      <c r="U69" s="71"/>
      <c r="V69" s="74">
        <v>1</v>
      </c>
      <c r="W69" s="75">
        <v>3</v>
      </c>
      <c r="X69" s="76">
        <v>3</v>
      </c>
      <c r="Y69" s="71"/>
      <c r="Z69" s="71"/>
    </row>
    <row r="70" spans="1:26" ht="15.75" x14ac:dyDescent="0.25">
      <c r="A70" s="71"/>
      <c r="B70" s="71"/>
      <c r="C70" s="316"/>
      <c r="D70" s="317"/>
      <c r="E70" s="309"/>
      <c r="F70" s="321"/>
      <c r="G70" s="302"/>
      <c r="H70" s="323"/>
      <c r="I70" s="324"/>
      <c r="J70" s="324"/>
      <c r="K70" s="324"/>
      <c r="L70" s="324"/>
      <c r="M70" s="324"/>
      <c r="N70" s="325"/>
      <c r="O70" s="308"/>
      <c r="P70" s="309"/>
      <c r="Q70" s="35">
        <v>3</v>
      </c>
      <c r="R70" s="312" t="s">
        <v>83</v>
      </c>
      <c r="S70" s="313"/>
      <c r="T70" s="71"/>
      <c r="U70" s="71"/>
      <c r="V70" s="286" t="s">
        <v>10</v>
      </c>
      <c r="W70" s="288" t="s">
        <v>11</v>
      </c>
      <c r="X70" s="290" t="s">
        <v>148</v>
      </c>
      <c r="Y70" s="71"/>
      <c r="Z70" s="71"/>
    </row>
    <row r="71" spans="1:26" ht="16.5" thickBot="1" x14ac:dyDescent="0.3">
      <c r="A71" s="71"/>
      <c r="B71" s="71"/>
      <c r="C71" s="318"/>
      <c r="D71" s="319"/>
      <c r="E71" s="311"/>
      <c r="F71" s="322"/>
      <c r="G71" s="303"/>
      <c r="H71" s="278"/>
      <c r="I71" s="279"/>
      <c r="J71" s="279"/>
      <c r="K71" s="279"/>
      <c r="L71" s="279"/>
      <c r="M71" s="279"/>
      <c r="N71" s="280"/>
      <c r="O71" s="310"/>
      <c r="P71" s="311"/>
      <c r="Q71" s="78">
        <v>4</v>
      </c>
      <c r="R71" s="281" t="s">
        <v>85</v>
      </c>
      <c r="S71" s="282"/>
      <c r="T71" s="71"/>
      <c r="U71" s="71"/>
      <c r="V71" s="287"/>
      <c r="W71" s="289"/>
      <c r="X71" s="291"/>
      <c r="Y71" s="71"/>
      <c r="Z71" s="71"/>
    </row>
    <row r="72" spans="1:26" ht="16.5" thickTop="1" x14ac:dyDescent="0.25">
      <c r="A72" s="71"/>
      <c r="B72" s="71"/>
      <c r="C72" s="326" t="s">
        <v>17</v>
      </c>
      <c r="D72" s="327"/>
      <c r="E72" s="327"/>
      <c r="F72" s="328"/>
      <c r="G72" s="332" t="s">
        <v>59</v>
      </c>
      <c r="H72" s="334" t="s">
        <v>60</v>
      </c>
      <c r="I72" s="327"/>
      <c r="J72" s="327"/>
      <c r="K72" s="327"/>
      <c r="L72" s="327"/>
      <c r="M72" s="327"/>
      <c r="N72" s="328"/>
      <c r="O72" s="334" t="s">
        <v>67</v>
      </c>
      <c r="P72" s="328"/>
      <c r="Q72" s="336" t="s">
        <v>98</v>
      </c>
      <c r="R72" s="337"/>
      <c r="S72" s="338"/>
      <c r="T72" s="71"/>
      <c r="U72" s="71"/>
      <c r="V72" s="283" t="s">
        <v>57</v>
      </c>
      <c r="W72" s="284"/>
      <c r="X72" s="285"/>
      <c r="Y72" s="71"/>
      <c r="Z72" s="71"/>
    </row>
    <row r="73" spans="1:26" ht="15.75" x14ac:dyDescent="0.25">
      <c r="A73" s="71"/>
      <c r="B73" s="71"/>
      <c r="C73" s="329"/>
      <c r="D73" s="330"/>
      <c r="E73" s="330"/>
      <c r="F73" s="331"/>
      <c r="G73" s="333"/>
      <c r="H73" s="335"/>
      <c r="I73" s="330"/>
      <c r="J73" s="330"/>
      <c r="K73" s="330"/>
      <c r="L73" s="330"/>
      <c r="M73" s="330"/>
      <c r="N73" s="331"/>
      <c r="O73" s="335"/>
      <c r="P73" s="331"/>
      <c r="Q73" s="339"/>
      <c r="R73" s="340"/>
      <c r="S73" s="341"/>
      <c r="T73" s="71"/>
      <c r="U73" s="71"/>
      <c r="V73" s="72" t="s">
        <v>1</v>
      </c>
      <c r="W73" s="23" t="s">
        <v>9</v>
      </c>
      <c r="X73" s="73" t="s">
        <v>2</v>
      </c>
      <c r="Y73" s="71"/>
      <c r="Z73" s="71"/>
    </row>
    <row r="74" spans="1:26" ht="15.75" x14ac:dyDescent="0.25">
      <c r="A74" s="71"/>
      <c r="B74" s="71"/>
      <c r="C74" s="295" t="s">
        <v>220</v>
      </c>
      <c r="D74" s="296"/>
      <c r="E74" s="296"/>
      <c r="F74" s="297"/>
      <c r="G74" s="301" t="s">
        <v>212</v>
      </c>
      <c r="H74" s="304" t="s">
        <v>231</v>
      </c>
      <c r="I74" s="305"/>
      <c r="J74" s="305"/>
      <c r="K74" s="305"/>
      <c r="L74" s="305"/>
      <c r="M74" s="305"/>
      <c r="N74" s="306"/>
      <c r="O74" s="307" t="s">
        <v>251</v>
      </c>
      <c r="P74" s="297"/>
      <c r="Q74" s="32">
        <v>1</v>
      </c>
      <c r="R74" s="312" t="s">
        <v>54</v>
      </c>
      <c r="S74" s="313"/>
      <c r="T74" s="71"/>
      <c r="U74" s="71"/>
      <c r="V74" s="74">
        <v>1</v>
      </c>
      <c r="W74" s="75">
        <v>3</v>
      </c>
      <c r="X74" s="76">
        <v>3</v>
      </c>
      <c r="Y74" s="71"/>
      <c r="Z74" s="71"/>
    </row>
    <row r="75" spans="1:26" ht="15.75" x14ac:dyDescent="0.25">
      <c r="A75" s="71"/>
      <c r="B75" s="71"/>
      <c r="C75" s="298"/>
      <c r="D75" s="299"/>
      <c r="E75" s="299"/>
      <c r="F75" s="300"/>
      <c r="G75" s="302"/>
      <c r="H75" s="304" t="s">
        <v>228</v>
      </c>
      <c r="I75" s="305"/>
      <c r="J75" s="305"/>
      <c r="K75" s="305"/>
      <c r="L75" s="305"/>
      <c r="M75" s="305"/>
      <c r="N75" s="306"/>
      <c r="O75" s="308"/>
      <c r="P75" s="309"/>
      <c r="Q75" s="30">
        <v>2</v>
      </c>
      <c r="R75" s="312" t="s">
        <v>51</v>
      </c>
      <c r="S75" s="313"/>
      <c r="T75" s="71"/>
      <c r="U75" s="71"/>
      <c r="V75" s="286" t="s">
        <v>10</v>
      </c>
      <c r="W75" s="288" t="s">
        <v>11</v>
      </c>
      <c r="X75" s="290" t="s">
        <v>148</v>
      </c>
      <c r="Y75" s="71"/>
      <c r="Z75" s="71"/>
    </row>
    <row r="76" spans="1:26" ht="16.5" thickBot="1" x14ac:dyDescent="0.3">
      <c r="A76" s="71"/>
      <c r="B76" s="71"/>
      <c r="C76" s="314" t="s">
        <v>55</v>
      </c>
      <c r="D76" s="250"/>
      <c r="E76" s="250"/>
      <c r="F76" s="251"/>
      <c r="G76" s="302"/>
      <c r="H76" s="304" t="s">
        <v>240</v>
      </c>
      <c r="I76" s="305"/>
      <c r="J76" s="305"/>
      <c r="K76" s="305"/>
      <c r="L76" s="305"/>
      <c r="M76" s="305"/>
      <c r="N76" s="306"/>
      <c r="O76" s="308"/>
      <c r="P76" s="309"/>
      <c r="Q76" s="30">
        <v>3</v>
      </c>
      <c r="R76" s="312"/>
      <c r="S76" s="313"/>
      <c r="T76" s="71"/>
      <c r="U76" s="71"/>
      <c r="V76" s="287"/>
      <c r="W76" s="289"/>
      <c r="X76" s="291"/>
      <c r="Y76" s="71"/>
      <c r="Z76" s="71"/>
    </row>
    <row r="77" spans="1:26" ht="17.25" thickTop="1" thickBot="1" x14ac:dyDescent="0.3">
      <c r="A77" s="71"/>
      <c r="B77" s="71"/>
      <c r="C77" s="295" t="s">
        <v>33</v>
      </c>
      <c r="D77" s="296"/>
      <c r="E77" s="296"/>
      <c r="F77" s="297"/>
      <c r="G77" s="302"/>
      <c r="H77" s="304"/>
      <c r="I77" s="305"/>
      <c r="J77" s="305"/>
      <c r="K77" s="305"/>
      <c r="L77" s="305"/>
      <c r="M77" s="305"/>
      <c r="N77" s="306"/>
      <c r="O77" s="308"/>
      <c r="P77" s="309"/>
      <c r="Q77" s="32">
        <v>4</v>
      </c>
      <c r="R77" s="312"/>
      <c r="S77" s="313"/>
      <c r="T77" s="71"/>
      <c r="U77" s="71"/>
      <c r="V77" s="17"/>
      <c r="W77" s="17"/>
      <c r="X77" s="17"/>
      <c r="Y77" s="71"/>
      <c r="Z77" s="71"/>
    </row>
    <row r="78" spans="1:26" ht="16.5" thickTop="1" x14ac:dyDescent="0.25">
      <c r="A78" s="71"/>
      <c r="B78" s="71"/>
      <c r="C78" s="298"/>
      <c r="D78" s="299"/>
      <c r="E78" s="299"/>
      <c r="F78" s="300"/>
      <c r="G78" s="302"/>
      <c r="H78" s="304"/>
      <c r="I78" s="305"/>
      <c r="J78" s="305"/>
      <c r="K78" s="305"/>
      <c r="L78" s="305"/>
      <c r="M78" s="305"/>
      <c r="N78" s="306"/>
      <c r="O78" s="308"/>
      <c r="P78" s="309"/>
      <c r="Q78" s="249" t="s">
        <v>97</v>
      </c>
      <c r="R78" s="250"/>
      <c r="S78" s="315"/>
      <c r="T78" s="71"/>
      <c r="U78" s="71"/>
      <c r="V78" s="292" t="s">
        <v>58</v>
      </c>
      <c r="W78" s="293"/>
      <c r="X78" s="294"/>
      <c r="Y78" s="71"/>
      <c r="Z78" s="71"/>
    </row>
    <row r="79" spans="1:26" ht="15.75" x14ac:dyDescent="0.25">
      <c r="A79" s="71"/>
      <c r="B79" s="71"/>
      <c r="C79" s="314" t="s">
        <v>38</v>
      </c>
      <c r="D79" s="250"/>
      <c r="E79" s="251"/>
      <c r="F79" s="69" t="s">
        <v>40</v>
      </c>
      <c r="G79" s="302"/>
      <c r="H79" s="304"/>
      <c r="I79" s="305"/>
      <c r="J79" s="305"/>
      <c r="K79" s="305"/>
      <c r="L79" s="305"/>
      <c r="M79" s="305"/>
      <c r="N79" s="306"/>
      <c r="O79" s="308"/>
      <c r="P79" s="309"/>
      <c r="Q79" s="38">
        <v>1</v>
      </c>
      <c r="R79" s="312" t="s">
        <v>83</v>
      </c>
      <c r="S79" s="313"/>
      <c r="T79" s="71"/>
      <c r="U79" s="71"/>
      <c r="V79" s="72" t="s">
        <v>1</v>
      </c>
      <c r="W79" s="23" t="s">
        <v>9</v>
      </c>
      <c r="X79" s="77" t="s">
        <v>78</v>
      </c>
      <c r="Y79" s="71"/>
      <c r="Z79" s="71"/>
    </row>
    <row r="80" spans="1:26" ht="15.75" x14ac:dyDescent="0.25">
      <c r="A80" s="71"/>
      <c r="B80" s="71"/>
      <c r="C80" s="295" t="s">
        <v>39</v>
      </c>
      <c r="D80" s="296"/>
      <c r="E80" s="297"/>
      <c r="F80" s="320" t="s">
        <v>266</v>
      </c>
      <c r="G80" s="302"/>
      <c r="H80" s="249" t="s">
        <v>61</v>
      </c>
      <c r="I80" s="250"/>
      <c r="J80" s="250"/>
      <c r="K80" s="250"/>
      <c r="L80" s="250"/>
      <c r="M80" s="250"/>
      <c r="N80" s="251"/>
      <c r="O80" s="308"/>
      <c r="P80" s="309"/>
      <c r="Q80" s="35">
        <v>2</v>
      </c>
      <c r="R80" s="312"/>
      <c r="S80" s="313"/>
      <c r="T80" s="71"/>
      <c r="U80" s="71"/>
      <c r="V80" s="74">
        <v>1</v>
      </c>
      <c r="W80" s="75">
        <v>3</v>
      </c>
      <c r="X80" s="76">
        <v>3</v>
      </c>
      <c r="Y80" s="71"/>
      <c r="Z80" s="71"/>
    </row>
    <row r="81" spans="1:26" ht="15.75" x14ac:dyDescent="0.25">
      <c r="A81" s="71"/>
      <c r="B81" s="71"/>
      <c r="C81" s="316"/>
      <c r="D81" s="317"/>
      <c r="E81" s="309"/>
      <c r="F81" s="321"/>
      <c r="G81" s="302"/>
      <c r="H81" s="323"/>
      <c r="I81" s="324"/>
      <c r="J81" s="324"/>
      <c r="K81" s="324"/>
      <c r="L81" s="324"/>
      <c r="M81" s="324"/>
      <c r="N81" s="325"/>
      <c r="O81" s="308"/>
      <c r="P81" s="309"/>
      <c r="Q81" s="35">
        <v>3</v>
      </c>
      <c r="R81" s="312"/>
      <c r="S81" s="313"/>
      <c r="T81" s="71"/>
      <c r="U81" s="71"/>
      <c r="V81" s="286" t="s">
        <v>10</v>
      </c>
      <c r="W81" s="288" t="s">
        <v>11</v>
      </c>
      <c r="X81" s="290" t="s">
        <v>148</v>
      </c>
      <c r="Y81" s="71"/>
      <c r="Z81" s="71"/>
    </row>
    <row r="82" spans="1:26" ht="16.5" thickBot="1" x14ac:dyDescent="0.3">
      <c r="A82" s="71"/>
      <c r="B82" s="71"/>
      <c r="C82" s="318"/>
      <c r="D82" s="319"/>
      <c r="E82" s="311"/>
      <c r="F82" s="322"/>
      <c r="G82" s="303"/>
      <c r="H82" s="278"/>
      <c r="I82" s="279"/>
      <c r="J82" s="279"/>
      <c r="K82" s="279"/>
      <c r="L82" s="279"/>
      <c r="M82" s="279"/>
      <c r="N82" s="280"/>
      <c r="O82" s="310"/>
      <c r="P82" s="311"/>
      <c r="Q82" s="78">
        <v>4</v>
      </c>
      <c r="R82" s="281"/>
      <c r="S82" s="282"/>
      <c r="T82" s="71"/>
      <c r="U82" s="71"/>
      <c r="V82" s="287"/>
      <c r="W82" s="289"/>
      <c r="X82" s="291"/>
      <c r="Y82" s="71"/>
      <c r="Z82" s="71"/>
    </row>
    <row r="83" spans="1:26" ht="16.5" thickTop="1" x14ac:dyDescent="0.25">
      <c r="A83" s="71"/>
      <c r="B83" s="71"/>
      <c r="C83" s="326" t="s">
        <v>17</v>
      </c>
      <c r="D83" s="327"/>
      <c r="E83" s="327"/>
      <c r="F83" s="328"/>
      <c r="G83" s="332" t="s">
        <v>59</v>
      </c>
      <c r="H83" s="334" t="s">
        <v>60</v>
      </c>
      <c r="I83" s="327"/>
      <c r="J83" s="327"/>
      <c r="K83" s="327"/>
      <c r="L83" s="327"/>
      <c r="M83" s="327"/>
      <c r="N83" s="328"/>
      <c r="O83" s="334" t="s">
        <v>67</v>
      </c>
      <c r="P83" s="328"/>
      <c r="Q83" s="336" t="s">
        <v>98</v>
      </c>
      <c r="R83" s="337"/>
      <c r="S83" s="338"/>
      <c r="T83" s="71"/>
      <c r="U83" s="71"/>
      <c r="V83" s="283" t="s">
        <v>57</v>
      </c>
      <c r="W83" s="284"/>
      <c r="X83" s="285"/>
      <c r="Y83" s="71"/>
      <c r="Z83" s="71"/>
    </row>
    <row r="84" spans="1:26" ht="15.75" x14ac:dyDescent="0.25">
      <c r="A84" s="71"/>
      <c r="B84" s="71"/>
      <c r="C84" s="329"/>
      <c r="D84" s="330"/>
      <c r="E84" s="330"/>
      <c r="F84" s="331"/>
      <c r="G84" s="333"/>
      <c r="H84" s="335"/>
      <c r="I84" s="330"/>
      <c r="J84" s="330"/>
      <c r="K84" s="330"/>
      <c r="L84" s="330"/>
      <c r="M84" s="330"/>
      <c r="N84" s="331"/>
      <c r="O84" s="335"/>
      <c r="P84" s="331"/>
      <c r="Q84" s="339"/>
      <c r="R84" s="340"/>
      <c r="S84" s="341"/>
      <c r="T84" s="71"/>
      <c r="U84" s="71"/>
      <c r="V84" s="72" t="s">
        <v>1</v>
      </c>
      <c r="W84" s="23" t="s">
        <v>9</v>
      </c>
      <c r="X84" s="73" t="s">
        <v>2</v>
      </c>
      <c r="Y84" s="71"/>
      <c r="Z84" s="71"/>
    </row>
    <row r="85" spans="1:26" ht="15.75" x14ac:dyDescent="0.25">
      <c r="A85" s="71"/>
      <c r="B85" s="71"/>
      <c r="C85" s="295" t="s">
        <v>162</v>
      </c>
      <c r="D85" s="296"/>
      <c r="E85" s="296"/>
      <c r="F85" s="297"/>
      <c r="G85" s="301" t="s">
        <v>215</v>
      </c>
      <c r="H85" s="304" t="s">
        <v>236</v>
      </c>
      <c r="I85" s="305"/>
      <c r="J85" s="305"/>
      <c r="K85" s="305"/>
      <c r="L85" s="305"/>
      <c r="M85" s="305"/>
      <c r="N85" s="306"/>
      <c r="O85" s="307" t="s">
        <v>251</v>
      </c>
      <c r="P85" s="297"/>
      <c r="Q85" s="32">
        <v>1</v>
      </c>
      <c r="R85" s="312" t="s">
        <v>54</v>
      </c>
      <c r="S85" s="313"/>
      <c r="T85" s="71"/>
      <c r="U85" s="71"/>
      <c r="V85" s="74">
        <v>1</v>
      </c>
      <c r="W85" s="75">
        <v>3</v>
      </c>
      <c r="X85" s="76">
        <v>3</v>
      </c>
      <c r="Y85" s="71"/>
      <c r="Z85" s="71"/>
    </row>
    <row r="86" spans="1:26" ht="15.75" x14ac:dyDescent="0.25">
      <c r="A86" s="71"/>
      <c r="B86" s="71"/>
      <c r="C86" s="298"/>
      <c r="D86" s="299"/>
      <c r="E86" s="299"/>
      <c r="F86" s="300"/>
      <c r="G86" s="302"/>
      <c r="H86" s="304" t="s">
        <v>228</v>
      </c>
      <c r="I86" s="305"/>
      <c r="J86" s="305"/>
      <c r="K86" s="305"/>
      <c r="L86" s="305"/>
      <c r="M86" s="305"/>
      <c r="N86" s="306"/>
      <c r="O86" s="308"/>
      <c r="P86" s="309"/>
      <c r="Q86" s="30">
        <v>2</v>
      </c>
      <c r="R86" s="312" t="s">
        <v>51</v>
      </c>
      <c r="S86" s="313"/>
      <c r="T86" s="71"/>
      <c r="U86" s="71"/>
      <c r="V86" s="286" t="s">
        <v>10</v>
      </c>
      <c r="W86" s="288" t="s">
        <v>11</v>
      </c>
      <c r="X86" s="290" t="s">
        <v>148</v>
      </c>
      <c r="Y86" s="71"/>
      <c r="Z86" s="71"/>
    </row>
    <row r="87" spans="1:26" ht="16.5" thickBot="1" x14ac:dyDescent="0.3">
      <c r="A87" s="71"/>
      <c r="B87" s="71"/>
      <c r="C87" s="314" t="s">
        <v>55</v>
      </c>
      <c r="D87" s="250"/>
      <c r="E87" s="250"/>
      <c r="F87" s="251"/>
      <c r="G87" s="302"/>
      <c r="H87" s="304" t="s">
        <v>240</v>
      </c>
      <c r="I87" s="305"/>
      <c r="J87" s="305"/>
      <c r="K87" s="305"/>
      <c r="L87" s="305"/>
      <c r="M87" s="305"/>
      <c r="N87" s="306"/>
      <c r="O87" s="308"/>
      <c r="P87" s="309"/>
      <c r="Q87" s="30">
        <v>3</v>
      </c>
      <c r="R87" s="312" t="s">
        <v>53</v>
      </c>
      <c r="S87" s="313"/>
      <c r="T87" s="71"/>
      <c r="U87" s="71"/>
      <c r="V87" s="287"/>
      <c r="W87" s="289"/>
      <c r="X87" s="291"/>
      <c r="Y87" s="71"/>
      <c r="Z87" s="71"/>
    </row>
    <row r="88" spans="1:26" ht="17.25" thickTop="1" thickBot="1" x14ac:dyDescent="0.3">
      <c r="A88" s="71"/>
      <c r="B88" s="71"/>
      <c r="C88" s="295" t="s">
        <v>34</v>
      </c>
      <c r="D88" s="296"/>
      <c r="E88" s="296"/>
      <c r="F88" s="297"/>
      <c r="G88" s="302"/>
      <c r="H88" s="304" t="s">
        <v>231</v>
      </c>
      <c r="I88" s="305"/>
      <c r="J88" s="305"/>
      <c r="K88" s="305"/>
      <c r="L88" s="305"/>
      <c r="M88" s="305"/>
      <c r="N88" s="306"/>
      <c r="O88" s="308"/>
      <c r="P88" s="309"/>
      <c r="Q88" s="32">
        <v>4</v>
      </c>
      <c r="R88" s="312"/>
      <c r="S88" s="313"/>
      <c r="T88" s="71"/>
      <c r="U88" s="71"/>
      <c r="V88" s="17"/>
      <c r="W88" s="17"/>
      <c r="X88" s="17"/>
      <c r="Y88" s="71"/>
      <c r="Z88" s="71"/>
    </row>
    <row r="89" spans="1:26" ht="16.5" thickTop="1" x14ac:dyDescent="0.25">
      <c r="A89" s="71"/>
      <c r="B89" s="71"/>
      <c r="C89" s="298"/>
      <c r="D89" s="299"/>
      <c r="E89" s="299"/>
      <c r="F89" s="300"/>
      <c r="G89" s="302"/>
      <c r="H89" s="304"/>
      <c r="I89" s="305"/>
      <c r="J89" s="305"/>
      <c r="K89" s="305"/>
      <c r="L89" s="305"/>
      <c r="M89" s="305"/>
      <c r="N89" s="306"/>
      <c r="O89" s="308"/>
      <c r="P89" s="309"/>
      <c r="Q89" s="249" t="s">
        <v>97</v>
      </c>
      <c r="R89" s="250"/>
      <c r="S89" s="315"/>
      <c r="T89" s="71"/>
      <c r="U89" s="71"/>
      <c r="V89" s="292" t="s">
        <v>58</v>
      </c>
      <c r="W89" s="293"/>
      <c r="X89" s="294"/>
      <c r="Y89" s="71"/>
      <c r="Z89" s="71"/>
    </row>
    <row r="90" spans="1:26" ht="15.75" x14ac:dyDescent="0.25">
      <c r="A90" s="71"/>
      <c r="B90" s="71"/>
      <c r="C90" s="314" t="s">
        <v>38</v>
      </c>
      <c r="D90" s="250"/>
      <c r="E90" s="251"/>
      <c r="F90" s="69" t="s">
        <v>40</v>
      </c>
      <c r="G90" s="302"/>
      <c r="H90" s="304"/>
      <c r="I90" s="305"/>
      <c r="J90" s="305"/>
      <c r="K90" s="305"/>
      <c r="L90" s="305"/>
      <c r="M90" s="305"/>
      <c r="N90" s="306"/>
      <c r="O90" s="308"/>
      <c r="P90" s="309"/>
      <c r="Q90" s="38">
        <v>1</v>
      </c>
      <c r="R90" s="312" t="s">
        <v>93</v>
      </c>
      <c r="S90" s="313"/>
      <c r="T90" s="71"/>
      <c r="U90" s="71"/>
      <c r="V90" s="72" t="s">
        <v>1</v>
      </c>
      <c r="W90" s="23" t="s">
        <v>9</v>
      </c>
      <c r="X90" s="77" t="s">
        <v>78</v>
      </c>
      <c r="Y90" s="71"/>
      <c r="Z90" s="71"/>
    </row>
    <row r="91" spans="1:26" ht="15.75" x14ac:dyDescent="0.25">
      <c r="A91" s="71"/>
      <c r="B91" s="71"/>
      <c r="C91" s="295" t="s">
        <v>44</v>
      </c>
      <c r="D91" s="296"/>
      <c r="E91" s="297"/>
      <c r="F91" s="320" t="s">
        <v>268</v>
      </c>
      <c r="G91" s="302"/>
      <c r="H91" s="249" t="s">
        <v>61</v>
      </c>
      <c r="I91" s="250"/>
      <c r="J91" s="250"/>
      <c r="K91" s="250"/>
      <c r="L91" s="250"/>
      <c r="M91" s="250"/>
      <c r="N91" s="251"/>
      <c r="O91" s="308"/>
      <c r="P91" s="309"/>
      <c r="Q91" s="35">
        <v>2</v>
      </c>
      <c r="R91" s="312" t="s">
        <v>83</v>
      </c>
      <c r="S91" s="313"/>
      <c r="T91" s="71"/>
      <c r="U91" s="71"/>
      <c r="V91" s="74">
        <v>1</v>
      </c>
      <c r="W91" s="75">
        <v>3</v>
      </c>
      <c r="X91" s="76">
        <v>3</v>
      </c>
      <c r="Y91" s="71"/>
      <c r="Z91" s="71"/>
    </row>
    <row r="92" spans="1:26" ht="15.75" x14ac:dyDescent="0.25">
      <c r="A92" s="71"/>
      <c r="B92" s="71"/>
      <c r="C92" s="316"/>
      <c r="D92" s="317"/>
      <c r="E92" s="309"/>
      <c r="F92" s="321"/>
      <c r="G92" s="302"/>
      <c r="H92" s="323"/>
      <c r="I92" s="324"/>
      <c r="J92" s="324"/>
      <c r="K92" s="324"/>
      <c r="L92" s="324"/>
      <c r="M92" s="324"/>
      <c r="N92" s="325"/>
      <c r="O92" s="308"/>
      <c r="P92" s="309"/>
      <c r="Q92" s="35">
        <v>3</v>
      </c>
      <c r="R92" s="312" t="s">
        <v>87</v>
      </c>
      <c r="S92" s="313"/>
      <c r="T92" s="71"/>
      <c r="U92" s="71"/>
      <c r="V92" s="286" t="s">
        <v>10</v>
      </c>
      <c r="W92" s="288" t="s">
        <v>11</v>
      </c>
      <c r="X92" s="290" t="s">
        <v>148</v>
      </c>
      <c r="Y92" s="71"/>
      <c r="Z92" s="71"/>
    </row>
    <row r="93" spans="1:26" ht="16.5" thickBot="1" x14ac:dyDescent="0.3">
      <c r="A93" s="71"/>
      <c r="B93" s="71"/>
      <c r="C93" s="318"/>
      <c r="D93" s="319"/>
      <c r="E93" s="311"/>
      <c r="F93" s="322"/>
      <c r="G93" s="303"/>
      <c r="H93" s="278"/>
      <c r="I93" s="279"/>
      <c r="J93" s="279"/>
      <c r="K93" s="279"/>
      <c r="L93" s="279"/>
      <c r="M93" s="279"/>
      <c r="N93" s="280"/>
      <c r="O93" s="310"/>
      <c r="P93" s="311"/>
      <c r="Q93" s="78">
        <v>4</v>
      </c>
      <c r="R93" s="281"/>
      <c r="S93" s="282"/>
      <c r="T93" s="71"/>
      <c r="U93" s="71"/>
      <c r="V93" s="287"/>
      <c r="W93" s="289"/>
      <c r="X93" s="291"/>
      <c r="Y93" s="71"/>
      <c r="Z93" s="71"/>
    </row>
    <row r="94" spans="1:26" ht="15.75" thickTop="1" x14ac:dyDescent="0.25"/>
    <row r="137" ht="15" customHeight="1" x14ac:dyDescent="0.25"/>
  </sheetData>
  <mergeCells count="313">
    <mergeCell ref="V75:V76"/>
    <mergeCell ref="W75:W76"/>
    <mergeCell ref="X75:X76"/>
    <mergeCell ref="V78:X78"/>
    <mergeCell ref="V81:V82"/>
    <mergeCell ref="W81:W82"/>
    <mergeCell ref="X81:X82"/>
    <mergeCell ref="H79:N79"/>
    <mergeCell ref="R79:S79"/>
    <mergeCell ref="C80:E82"/>
    <mergeCell ref="F80:F82"/>
    <mergeCell ref="H80:N80"/>
    <mergeCell ref="R80:S80"/>
    <mergeCell ref="H81:N81"/>
    <mergeCell ref="R81:S81"/>
    <mergeCell ref="H82:N82"/>
    <mergeCell ref="R82:S82"/>
    <mergeCell ref="C74:F75"/>
    <mergeCell ref="G74:G82"/>
    <mergeCell ref="H74:N74"/>
    <mergeCell ref="O74:P82"/>
    <mergeCell ref="R74:S74"/>
    <mergeCell ref="H75:N75"/>
    <mergeCell ref="R75:S75"/>
    <mergeCell ref="C76:F76"/>
    <mergeCell ref="H76:N76"/>
    <mergeCell ref="R76:S76"/>
    <mergeCell ref="C77:F78"/>
    <mergeCell ref="H77:N77"/>
    <mergeCell ref="R77:S77"/>
    <mergeCell ref="H78:N78"/>
    <mergeCell ref="Q78:S78"/>
    <mergeCell ref="C79:E79"/>
    <mergeCell ref="V70:V71"/>
    <mergeCell ref="W70:W71"/>
    <mergeCell ref="X70:X71"/>
    <mergeCell ref="C72:F73"/>
    <mergeCell ref="G72:G73"/>
    <mergeCell ref="H72:N73"/>
    <mergeCell ref="O72:P73"/>
    <mergeCell ref="Q72:S73"/>
    <mergeCell ref="V72:X72"/>
    <mergeCell ref="V61:X61"/>
    <mergeCell ref="V64:V65"/>
    <mergeCell ref="W64:W65"/>
    <mergeCell ref="X64:X65"/>
    <mergeCell ref="V67:X67"/>
    <mergeCell ref="H68:N68"/>
    <mergeCell ref="R68:S68"/>
    <mergeCell ref="C69:E71"/>
    <mergeCell ref="F69:F71"/>
    <mergeCell ref="H69:N69"/>
    <mergeCell ref="R69:S69"/>
    <mergeCell ref="H70:N70"/>
    <mergeCell ref="R70:S70"/>
    <mergeCell ref="H71:N71"/>
    <mergeCell ref="R71:S71"/>
    <mergeCell ref="C63:F64"/>
    <mergeCell ref="G63:G71"/>
    <mergeCell ref="H63:N63"/>
    <mergeCell ref="O63:P71"/>
    <mergeCell ref="R63:S63"/>
    <mergeCell ref="H64:N64"/>
    <mergeCell ref="R64:S64"/>
    <mergeCell ref="C65:F65"/>
    <mergeCell ref="H65:N65"/>
    <mergeCell ref="R65:S65"/>
    <mergeCell ref="C66:F67"/>
    <mergeCell ref="H66:N66"/>
    <mergeCell ref="R66:S66"/>
    <mergeCell ref="H67:N67"/>
    <mergeCell ref="Q67:S67"/>
    <mergeCell ref="C68:E68"/>
    <mergeCell ref="C61:F62"/>
    <mergeCell ref="G61:G62"/>
    <mergeCell ref="H61:N62"/>
    <mergeCell ref="O61:P62"/>
    <mergeCell ref="Q61:S62"/>
    <mergeCell ref="V53:V54"/>
    <mergeCell ref="W53:W54"/>
    <mergeCell ref="X53:X54"/>
    <mergeCell ref="V56:X56"/>
    <mergeCell ref="V59:V60"/>
    <mergeCell ref="W59:W60"/>
    <mergeCell ref="X59:X60"/>
    <mergeCell ref="H57:N57"/>
    <mergeCell ref="R57:S57"/>
    <mergeCell ref="C58:E60"/>
    <mergeCell ref="F58:F60"/>
    <mergeCell ref="H58:N58"/>
    <mergeCell ref="R58:S58"/>
    <mergeCell ref="H59:N59"/>
    <mergeCell ref="R59:S59"/>
    <mergeCell ref="H60:N60"/>
    <mergeCell ref="R60:S60"/>
    <mergeCell ref="C52:F53"/>
    <mergeCell ref="G52:G60"/>
    <mergeCell ref="H52:N52"/>
    <mergeCell ref="O52:P60"/>
    <mergeCell ref="R52:S52"/>
    <mergeCell ref="H53:N53"/>
    <mergeCell ref="R53:S53"/>
    <mergeCell ref="C54:F54"/>
    <mergeCell ref="H54:N54"/>
    <mergeCell ref="R54:S54"/>
    <mergeCell ref="C55:F56"/>
    <mergeCell ref="H55:N55"/>
    <mergeCell ref="R55:S55"/>
    <mergeCell ref="H56:N56"/>
    <mergeCell ref="Q56:S56"/>
    <mergeCell ref="C57:E57"/>
    <mergeCell ref="V48:V49"/>
    <mergeCell ref="W48:W49"/>
    <mergeCell ref="X48:X49"/>
    <mergeCell ref="C50:F51"/>
    <mergeCell ref="G50:G51"/>
    <mergeCell ref="H50:N51"/>
    <mergeCell ref="O50:P51"/>
    <mergeCell ref="Q50:S51"/>
    <mergeCell ref="V50:X50"/>
    <mergeCell ref="V39:X39"/>
    <mergeCell ref="V42:V43"/>
    <mergeCell ref="W42:W43"/>
    <mergeCell ref="X42:X43"/>
    <mergeCell ref="V45:X45"/>
    <mergeCell ref="H46:N46"/>
    <mergeCell ref="R46:S46"/>
    <mergeCell ref="C47:E49"/>
    <mergeCell ref="F47:F49"/>
    <mergeCell ref="H47:N47"/>
    <mergeCell ref="R47:S47"/>
    <mergeCell ref="H48:N48"/>
    <mergeCell ref="R48:S48"/>
    <mergeCell ref="H49:N49"/>
    <mergeCell ref="R49:S49"/>
    <mergeCell ref="C41:F42"/>
    <mergeCell ref="G41:G49"/>
    <mergeCell ref="H41:N41"/>
    <mergeCell ref="O41:P49"/>
    <mergeCell ref="R41:S41"/>
    <mergeCell ref="H42:N42"/>
    <mergeCell ref="R42:S42"/>
    <mergeCell ref="C43:F43"/>
    <mergeCell ref="H43:N43"/>
    <mergeCell ref="R43:S43"/>
    <mergeCell ref="C44:F45"/>
    <mergeCell ref="H44:N44"/>
    <mergeCell ref="R44:S44"/>
    <mergeCell ref="H45:N45"/>
    <mergeCell ref="Q45:S45"/>
    <mergeCell ref="C46:E46"/>
    <mergeCell ref="C39:F40"/>
    <mergeCell ref="G39:G40"/>
    <mergeCell ref="H39:N40"/>
    <mergeCell ref="O39:P40"/>
    <mergeCell ref="Q39:S40"/>
    <mergeCell ref="V31:V32"/>
    <mergeCell ref="W31:W32"/>
    <mergeCell ref="X31:X32"/>
    <mergeCell ref="V34:X34"/>
    <mergeCell ref="V37:V38"/>
    <mergeCell ref="W37:W38"/>
    <mergeCell ref="X37:X38"/>
    <mergeCell ref="H35:N35"/>
    <mergeCell ref="R35:S35"/>
    <mergeCell ref="C36:E38"/>
    <mergeCell ref="F36:F38"/>
    <mergeCell ref="H36:N36"/>
    <mergeCell ref="R36:S36"/>
    <mergeCell ref="H37:N37"/>
    <mergeCell ref="R37:S37"/>
    <mergeCell ref="H38:N38"/>
    <mergeCell ref="R38:S38"/>
    <mergeCell ref="C30:F31"/>
    <mergeCell ref="G30:G38"/>
    <mergeCell ref="H30:N30"/>
    <mergeCell ref="O30:P38"/>
    <mergeCell ref="R30:S30"/>
    <mergeCell ref="H31:N31"/>
    <mergeCell ref="R31:S31"/>
    <mergeCell ref="C32:F32"/>
    <mergeCell ref="H32:N32"/>
    <mergeCell ref="R32:S32"/>
    <mergeCell ref="C33:F34"/>
    <mergeCell ref="H33:N33"/>
    <mergeCell ref="R33:S33"/>
    <mergeCell ref="H34:N34"/>
    <mergeCell ref="Q34:S34"/>
    <mergeCell ref="C35:E35"/>
    <mergeCell ref="V26:V27"/>
    <mergeCell ref="W26:W27"/>
    <mergeCell ref="X26:X27"/>
    <mergeCell ref="C28:F29"/>
    <mergeCell ref="G28:G29"/>
    <mergeCell ref="H28:N29"/>
    <mergeCell ref="O28:P29"/>
    <mergeCell ref="Q28:S29"/>
    <mergeCell ref="V28:X28"/>
    <mergeCell ref="V17:X17"/>
    <mergeCell ref="V20:V21"/>
    <mergeCell ref="W20:W21"/>
    <mergeCell ref="X20:X21"/>
    <mergeCell ref="V23:X23"/>
    <mergeCell ref="H24:N24"/>
    <mergeCell ref="R24:S24"/>
    <mergeCell ref="C25:E27"/>
    <mergeCell ref="F25:F27"/>
    <mergeCell ref="H25:N25"/>
    <mergeCell ref="R25:S25"/>
    <mergeCell ref="H26:N26"/>
    <mergeCell ref="R26:S26"/>
    <mergeCell ref="H27:N27"/>
    <mergeCell ref="R27:S27"/>
    <mergeCell ref="C19:F20"/>
    <mergeCell ref="G19:G27"/>
    <mergeCell ref="H19:N19"/>
    <mergeCell ref="O19:P27"/>
    <mergeCell ref="R19:S19"/>
    <mergeCell ref="H20:N20"/>
    <mergeCell ref="R20:S20"/>
    <mergeCell ref="C21:F21"/>
    <mergeCell ref="H21:N21"/>
    <mergeCell ref="R22:S22"/>
    <mergeCell ref="H23:N23"/>
    <mergeCell ref="Q23:S23"/>
    <mergeCell ref="C24:E24"/>
    <mergeCell ref="C17:F18"/>
    <mergeCell ref="G17:G18"/>
    <mergeCell ref="H17:N18"/>
    <mergeCell ref="O17:P18"/>
    <mergeCell ref="Q17:S18"/>
    <mergeCell ref="C1:S3"/>
    <mergeCell ref="C6:F7"/>
    <mergeCell ref="G6:G7"/>
    <mergeCell ref="H6:N7"/>
    <mergeCell ref="O6:P7"/>
    <mergeCell ref="Q6:S7"/>
    <mergeCell ref="C8:F9"/>
    <mergeCell ref="G8:G16"/>
    <mergeCell ref="H8:N8"/>
    <mergeCell ref="O8:P16"/>
    <mergeCell ref="R8:S8"/>
    <mergeCell ref="H9:N9"/>
    <mergeCell ref="R9:S9"/>
    <mergeCell ref="C10:F10"/>
    <mergeCell ref="H10:N10"/>
    <mergeCell ref="R10:S10"/>
    <mergeCell ref="C11:F12"/>
    <mergeCell ref="H11:N11"/>
    <mergeCell ref="R11:S11"/>
    <mergeCell ref="H12:N12"/>
    <mergeCell ref="Q12:S12"/>
    <mergeCell ref="C13:E13"/>
    <mergeCell ref="H13:N13"/>
    <mergeCell ref="R13:S13"/>
    <mergeCell ref="W15:W16"/>
    <mergeCell ref="X15:X16"/>
    <mergeCell ref="V6:X6"/>
    <mergeCell ref="V9:V10"/>
    <mergeCell ref="W9:W10"/>
    <mergeCell ref="X9:X10"/>
    <mergeCell ref="V12:X12"/>
    <mergeCell ref="C83:F84"/>
    <mergeCell ref="G83:G84"/>
    <mergeCell ref="H83:N84"/>
    <mergeCell ref="O83:P84"/>
    <mergeCell ref="Q83:S84"/>
    <mergeCell ref="C14:E16"/>
    <mergeCell ref="F14:F16"/>
    <mergeCell ref="H14:N14"/>
    <mergeCell ref="R14:S14"/>
    <mergeCell ref="H15:N15"/>
    <mergeCell ref="R15:S15"/>
    <mergeCell ref="H16:N16"/>
    <mergeCell ref="R16:S16"/>
    <mergeCell ref="V15:V16"/>
    <mergeCell ref="R21:S21"/>
    <mergeCell ref="C22:F23"/>
    <mergeCell ref="H22:N22"/>
    <mergeCell ref="C85:F86"/>
    <mergeCell ref="G85:G93"/>
    <mergeCell ref="H85:N85"/>
    <mergeCell ref="O85:P93"/>
    <mergeCell ref="R85:S85"/>
    <mergeCell ref="H86:N86"/>
    <mergeCell ref="R86:S86"/>
    <mergeCell ref="C87:F87"/>
    <mergeCell ref="H87:N87"/>
    <mergeCell ref="R87:S87"/>
    <mergeCell ref="C88:F89"/>
    <mergeCell ref="H88:N88"/>
    <mergeCell ref="R88:S88"/>
    <mergeCell ref="H89:N89"/>
    <mergeCell ref="Q89:S89"/>
    <mergeCell ref="C90:E90"/>
    <mergeCell ref="H90:N90"/>
    <mergeCell ref="R90:S90"/>
    <mergeCell ref="C91:E93"/>
    <mergeCell ref="F91:F93"/>
    <mergeCell ref="H91:N91"/>
    <mergeCell ref="R91:S91"/>
    <mergeCell ref="H92:N92"/>
    <mergeCell ref="R92:S92"/>
    <mergeCell ref="H93:N93"/>
    <mergeCell ref="R93:S93"/>
    <mergeCell ref="V83:X83"/>
    <mergeCell ref="V86:V87"/>
    <mergeCell ref="W86:W87"/>
    <mergeCell ref="X86:X87"/>
    <mergeCell ref="V89:X89"/>
    <mergeCell ref="V92:V93"/>
    <mergeCell ref="W92:W93"/>
    <mergeCell ref="X92:X93"/>
  </mergeCells>
  <conditionalFormatting sqref="V9">
    <cfRule type="expression" dxfId="161" priority="142">
      <formula>V9="Alta"</formula>
    </cfRule>
    <cfRule type="expression" dxfId="160" priority="143">
      <formula>V9="Media"</formula>
    </cfRule>
    <cfRule type="expression" dxfId="159" priority="144">
      <formula>V9="Baja"</formula>
    </cfRule>
  </conditionalFormatting>
  <conditionalFormatting sqref="W9">
    <cfRule type="expression" dxfId="158" priority="139">
      <formula>W9="Alta"</formula>
    </cfRule>
    <cfRule type="expression" dxfId="157" priority="140">
      <formula>W9="Media"</formula>
    </cfRule>
    <cfRule type="expression" dxfId="156" priority="141">
      <formula>W9="Baja"</formula>
    </cfRule>
  </conditionalFormatting>
  <conditionalFormatting sqref="X9">
    <cfRule type="expression" dxfId="155" priority="136">
      <formula>X9="ALTO"</formula>
    </cfRule>
    <cfRule type="expression" dxfId="154" priority="137">
      <formula>X9="MEDIO"</formula>
    </cfRule>
    <cfRule type="expression" dxfId="153" priority="138">
      <formula>X9="BAJO"</formula>
    </cfRule>
  </conditionalFormatting>
  <conditionalFormatting sqref="V15">
    <cfRule type="expression" dxfId="152" priority="133">
      <formula>V15="Alta"</formula>
    </cfRule>
    <cfRule type="expression" dxfId="151" priority="134">
      <formula>V15="Media"</formula>
    </cfRule>
    <cfRule type="expression" dxfId="150" priority="135">
      <formula>V15="Baja"</formula>
    </cfRule>
  </conditionalFormatting>
  <conditionalFormatting sqref="W15">
    <cfRule type="expression" dxfId="149" priority="130">
      <formula>W15="Alta"</formula>
    </cfRule>
    <cfRule type="expression" dxfId="148" priority="131">
      <formula>W15="Media"</formula>
    </cfRule>
    <cfRule type="expression" dxfId="147" priority="132">
      <formula>W15="Baja"</formula>
    </cfRule>
  </conditionalFormatting>
  <conditionalFormatting sqref="X15">
    <cfRule type="expression" dxfId="146" priority="127">
      <formula>X15="ALTO"</formula>
    </cfRule>
    <cfRule type="expression" dxfId="145" priority="128">
      <formula>X15="MEDIO"</formula>
    </cfRule>
    <cfRule type="expression" dxfId="144" priority="129">
      <formula>X15="BAJO"</formula>
    </cfRule>
  </conditionalFormatting>
  <conditionalFormatting sqref="V20">
    <cfRule type="expression" dxfId="143" priority="124">
      <formula>V20="Alta"</formula>
    </cfRule>
    <cfRule type="expression" dxfId="142" priority="125">
      <formula>V20="Media"</formula>
    </cfRule>
    <cfRule type="expression" dxfId="141" priority="126">
      <formula>V20="Baja"</formula>
    </cfRule>
  </conditionalFormatting>
  <conditionalFormatting sqref="W20">
    <cfRule type="expression" dxfId="140" priority="121">
      <formula>W20="Alta"</formula>
    </cfRule>
    <cfRule type="expression" dxfId="139" priority="122">
      <formula>W20="Media"</formula>
    </cfRule>
    <cfRule type="expression" dxfId="138" priority="123">
      <formula>W20="Baja"</formula>
    </cfRule>
  </conditionalFormatting>
  <conditionalFormatting sqref="X20">
    <cfRule type="expression" dxfId="137" priority="118">
      <formula>X20="ALTO"</formula>
    </cfRule>
    <cfRule type="expression" dxfId="136" priority="119">
      <formula>X20="MEDIO"</formula>
    </cfRule>
    <cfRule type="expression" dxfId="135" priority="120">
      <formula>X20="BAJO"</formula>
    </cfRule>
  </conditionalFormatting>
  <conditionalFormatting sqref="V26">
    <cfRule type="expression" dxfId="134" priority="115">
      <formula>V26="Alta"</formula>
    </cfRule>
    <cfRule type="expression" dxfId="133" priority="116">
      <formula>V26="Media"</formula>
    </cfRule>
    <cfRule type="expression" dxfId="132" priority="117">
      <formula>V26="Baja"</formula>
    </cfRule>
  </conditionalFormatting>
  <conditionalFormatting sqref="W26">
    <cfRule type="expression" dxfId="131" priority="112">
      <formula>W26="Alta"</formula>
    </cfRule>
    <cfRule type="expression" dxfId="130" priority="113">
      <formula>W26="Media"</formula>
    </cfRule>
    <cfRule type="expression" dxfId="129" priority="114">
      <formula>W26="Baja"</formula>
    </cfRule>
  </conditionalFormatting>
  <conditionalFormatting sqref="X26">
    <cfRule type="expression" dxfId="128" priority="109">
      <formula>X26="ALTO"</formula>
    </cfRule>
    <cfRule type="expression" dxfId="127" priority="110">
      <formula>X26="MEDIO"</formula>
    </cfRule>
    <cfRule type="expression" dxfId="126" priority="111">
      <formula>X26="BAJO"</formula>
    </cfRule>
  </conditionalFormatting>
  <conditionalFormatting sqref="V31">
    <cfRule type="expression" dxfId="125" priority="106">
      <formula>V31="Alta"</formula>
    </cfRule>
    <cfRule type="expression" dxfId="124" priority="107">
      <formula>V31="Media"</formula>
    </cfRule>
    <cfRule type="expression" dxfId="123" priority="108">
      <formula>V31="Baja"</formula>
    </cfRule>
  </conditionalFormatting>
  <conditionalFormatting sqref="W31">
    <cfRule type="expression" dxfId="122" priority="103">
      <formula>W31="Alta"</formula>
    </cfRule>
    <cfRule type="expression" dxfId="121" priority="104">
      <formula>W31="Media"</formula>
    </cfRule>
    <cfRule type="expression" dxfId="120" priority="105">
      <formula>W31="Baja"</formula>
    </cfRule>
  </conditionalFormatting>
  <conditionalFormatting sqref="X31">
    <cfRule type="expression" dxfId="119" priority="100">
      <formula>X31="ALTO"</formula>
    </cfRule>
    <cfRule type="expression" dxfId="118" priority="101">
      <formula>X31="MEDIO"</formula>
    </cfRule>
    <cfRule type="expression" dxfId="117" priority="102">
      <formula>X31="BAJO"</formula>
    </cfRule>
  </conditionalFormatting>
  <conditionalFormatting sqref="V37">
    <cfRule type="expression" dxfId="116" priority="97">
      <formula>V37="Alta"</formula>
    </cfRule>
    <cfRule type="expression" dxfId="115" priority="98">
      <formula>V37="Media"</formula>
    </cfRule>
    <cfRule type="expression" dxfId="114" priority="99">
      <formula>V37="Baja"</formula>
    </cfRule>
  </conditionalFormatting>
  <conditionalFormatting sqref="W37">
    <cfRule type="expression" dxfId="113" priority="94">
      <formula>W37="Alta"</formula>
    </cfRule>
    <cfRule type="expression" dxfId="112" priority="95">
      <formula>W37="Media"</formula>
    </cfRule>
    <cfRule type="expression" dxfId="111" priority="96">
      <formula>W37="Baja"</formula>
    </cfRule>
  </conditionalFormatting>
  <conditionalFormatting sqref="X37">
    <cfRule type="expression" dxfId="110" priority="91">
      <formula>X37="ALTO"</formula>
    </cfRule>
    <cfRule type="expression" dxfId="109" priority="92">
      <formula>X37="MEDIO"</formula>
    </cfRule>
    <cfRule type="expression" dxfId="108" priority="93">
      <formula>X37="BAJO"</formula>
    </cfRule>
  </conditionalFormatting>
  <conditionalFormatting sqref="V42">
    <cfRule type="expression" dxfId="107" priority="88">
      <formula>V42="Alta"</formula>
    </cfRule>
    <cfRule type="expression" dxfId="106" priority="89">
      <formula>V42="Media"</formula>
    </cfRule>
    <cfRule type="expression" dxfId="105" priority="90">
      <formula>V42="Baja"</formula>
    </cfRule>
  </conditionalFormatting>
  <conditionalFormatting sqref="W42">
    <cfRule type="expression" dxfId="104" priority="85">
      <formula>W42="Alta"</formula>
    </cfRule>
    <cfRule type="expression" dxfId="103" priority="86">
      <formula>W42="Media"</formula>
    </cfRule>
    <cfRule type="expression" dxfId="102" priority="87">
      <formula>W42="Baja"</formula>
    </cfRule>
  </conditionalFormatting>
  <conditionalFormatting sqref="X42">
    <cfRule type="expression" dxfId="101" priority="82">
      <formula>X42="ALTO"</formula>
    </cfRule>
    <cfRule type="expression" dxfId="100" priority="83">
      <formula>X42="MEDIO"</formula>
    </cfRule>
    <cfRule type="expression" dxfId="99" priority="84">
      <formula>X42="BAJO"</formula>
    </cfRule>
  </conditionalFormatting>
  <conditionalFormatting sqref="V48">
    <cfRule type="expression" dxfId="98" priority="79">
      <formula>V48="Alta"</formula>
    </cfRule>
    <cfRule type="expression" dxfId="97" priority="80">
      <formula>V48="Media"</formula>
    </cfRule>
    <cfRule type="expression" dxfId="96" priority="81">
      <formula>V48="Baja"</formula>
    </cfRule>
  </conditionalFormatting>
  <conditionalFormatting sqref="W48">
    <cfRule type="expression" dxfId="95" priority="76">
      <formula>W48="Alta"</formula>
    </cfRule>
    <cfRule type="expression" dxfId="94" priority="77">
      <formula>W48="Media"</formula>
    </cfRule>
    <cfRule type="expression" dxfId="93" priority="78">
      <formula>W48="Baja"</formula>
    </cfRule>
  </conditionalFormatting>
  <conditionalFormatting sqref="X48">
    <cfRule type="expression" dxfId="92" priority="73">
      <formula>X48="ALTO"</formula>
    </cfRule>
    <cfRule type="expression" dxfId="91" priority="74">
      <formula>X48="MEDIO"</formula>
    </cfRule>
    <cfRule type="expression" dxfId="90" priority="75">
      <formula>X48="BAJO"</formula>
    </cfRule>
  </conditionalFormatting>
  <conditionalFormatting sqref="V53">
    <cfRule type="expression" dxfId="89" priority="70">
      <formula>V53="Alta"</formula>
    </cfRule>
    <cfRule type="expression" dxfId="88" priority="71">
      <formula>V53="Media"</formula>
    </cfRule>
    <cfRule type="expression" dxfId="87" priority="72">
      <formula>V53="Baja"</formula>
    </cfRule>
  </conditionalFormatting>
  <conditionalFormatting sqref="W53">
    <cfRule type="expression" dxfId="86" priority="67">
      <formula>W53="Alta"</formula>
    </cfRule>
    <cfRule type="expression" dxfId="85" priority="68">
      <formula>W53="Media"</formula>
    </cfRule>
    <cfRule type="expression" dxfId="84" priority="69">
      <formula>W53="Baja"</formula>
    </cfRule>
  </conditionalFormatting>
  <conditionalFormatting sqref="X53">
    <cfRule type="expression" dxfId="83" priority="64">
      <formula>X53="ALTO"</formula>
    </cfRule>
    <cfRule type="expression" dxfId="82" priority="65">
      <formula>X53="MEDIO"</formula>
    </cfRule>
    <cfRule type="expression" dxfId="81" priority="66">
      <formula>X53="BAJO"</formula>
    </cfRule>
  </conditionalFormatting>
  <conditionalFormatting sqref="V59">
    <cfRule type="expression" dxfId="80" priority="61">
      <formula>V59="Alta"</formula>
    </cfRule>
    <cfRule type="expression" dxfId="79" priority="62">
      <formula>V59="Media"</formula>
    </cfRule>
    <cfRule type="expression" dxfId="78" priority="63">
      <formula>V59="Baja"</formula>
    </cfRule>
  </conditionalFormatting>
  <conditionalFormatting sqref="W59">
    <cfRule type="expression" dxfId="77" priority="58">
      <formula>W59="Alta"</formula>
    </cfRule>
    <cfRule type="expression" dxfId="76" priority="59">
      <formula>W59="Media"</formula>
    </cfRule>
    <cfRule type="expression" dxfId="75" priority="60">
      <formula>W59="Baja"</formula>
    </cfRule>
  </conditionalFormatting>
  <conditionalFormatting sqref="X59">
    <cfRule type="expression" dxfId="74" priority="55">
      <formula>X59="ALTO"</formula>
    </cfRule>
    <cfRule type="expression" dxfId="73" priority="56">
      <formula>X59="MEDIO"</formula>
    </cfRule>
    <cfRule type="expression" dxfId="72" priority="57">
      <formula>X59="BAJO"</formula>
    </cfRule>
  </conditionalFormatting>
  <conditionalFormatting sqref="V64">
    <cfRule type="expression" dxfId="71" priority="52">
      <formula>V64="Alta"</formula>
    </cfRule>
    <cfRule type="expression" dxfId="70" priority="53">
      <formula>V64="Media"</formula>
    </cfRule>
    <cfRule type="expression" dxfId="69" priority="54">
      <formula>V64="Baja"</formula>
    </cfRule>
  </conditionalFormatting>
  <conditionalFormatting sqref="W64">
    <cfRule type="expression" dxfId="68" priority="49">
      <formula>W64="Alta"</formula>
    </cfRule>
    <cfRule type="expression" dxfId="67" priority="50">
      <formula>W64="Media"</formula>
    </cfRule>
    <cfRule type="expression" dxfId="66" priority="51">
      <formula>W64="Baja"</formula>
    </cfRule>
  </conditionalFormatting>
  <conditionalFormatting sqref="X64">
    <cfRule type="expression" dxfId="65" priority="46">
      <formula>X64="ALTO"</formula>
    </cfRule>
    <cfRule type="expression" dxfId="64" priority="47">
      <formula>X64="MEDIO"</formula>
    </cfRule>
    <cfRule type="expression" dxfId="63" priority="48">
      <formula>X64="BAJO"</formula>
    </cfRule>
  </conditionalFormatting>
  <conditionalFormatting sqref="V70">
    <cfRule type="expression" dxfId="62" priority="43">
      <formula>V70="Alta"</formula>
    </cfRule>
    <cfRule type="expression" dxfId="61" priority="44">
      <formula>V70="Media"</formula>
    </cfRule>
    <cfRule type="expression" dxfId="60" priority="45">
      <formula>V70="Baja"</formula>
    </cfRule>
  </conditionalFormatting>
  <conditionalFormatting sqref="W70">
    <cfRule type="expression" dxfId="59" priority="40">
      <formula>W70="Alta"</formula>
    </cfRule>
    <cfRule type="expression" dxfId="58" priority="41">
      <formula>W70="Media"</formula>
    </cfRule>
    <cfRule type="expression" dxfId="57" priority="42">
      <formula>W70="Baja"</formula>
    </cfRule>
  </conditionalFormatting>
  <conditionalFormatting sqref="X70">
    <cfRule type="expression" dxfId="56" priority="37">
      <formula>X70="ALTO"</formula>
    </cfRule>
    <cfRule type="expression" dxfId="55" priority="38">
      <formula>X70="MEDIO"</formula>
    </cfRule>
    <cfRule type="expression" dxfId="54" priority="39">
      <formula>X70="BAJO"</formula>
    </cfRule>
  </conditionalFormatting>
  <conditionalFormatting sqref="V75">
    <cfRule type="expression" dxfId="53" priority="34">
      <formula>V75="Alta"</formula>
    </cfRule>
    <cfRule type="expression" dxfId="52" priority="35">
      <formula>V75="Media"</formula>
    </cfRule>
    <cfRule type="expression" dxfId="51" priority="36">
      <formula>V75="Baja"</formula>
    </cfRule>
  </conditionalFormatting>
  <conditionalFormatting sqref="W75">
    <cfRule type="expression" dxfId="50" priority="31">
      <formula>W75="Alta"</formula>
    </cfRule>
    <cfRule type="expression" dxfId="49" priority="32">
      <formula>W75="Media"</formula>
    </cfRule>
    <cfRule type="expression" dxfId="48" priority="33">
      <formula>W75="Baja"</formula>
    </cfRule>
  </conditionalFormatting>
  <conditionalFormatting sqref="X75">
    <cfRule type="expression" dxfId="47" priority="28">
      <formula>X75="ALTO"</formula>
    </cfRule>
    <cfRule type="expression" dxfId="46" priority="29">
      <formula>X75="MEDIO"</formula>
    </cfRule>
    <cfRule type="expression" dxfId="45" priority="30">
      <formula>X75="BAJO"</formula>
    </cfRule>
  </conditionalFormatting>
  <conditionalFormatting sqref="V81">
    <cfRule type="expression" dxfId="44" priority="25">
      <formula>V81="Alta"</formula>
    </cfRule>
    <cfRule type="expression" dxfId="43" priority="26">
      <formula>V81="Media"</formula>
    </cfRule>
    <cfRule type="expression" dxfId="42" priority="27">
      <formula>V81="Baja"</formula>
    </cfRule>
  </conditionalFormatting>
  <conditionalFormatting sqref="W81">
    <cfRule type="expression" dxfId="41" priority="22">
      <formula>W81="Alta"</formula>
    </cfRule>
    <cfRule type="expression" dxfId="40" priority="23">
      <formula>W81="Media"</formula>
    </cfRule>
    <cfRule type="expression" dxfId="39" priority="24">
      <formula>W81="Baja"</formula>
    </cfRule>
  </conditionalFormatting>
  <conditionalFormatting sqref="X81">
    <cfRule type="expression" dxfId="38" priority="19">
      <formula>X81="ALTO"</formula>
    </cfRule>
    <cfRule type="expression" dxfId="37" priority="20">
      <formula>X81="MEDIO"</formula>
    </cfRule>
    <cfRule type="expression" dxfId="36" priority="21">
      <formula>X81="BAJO"</formula>
    </cfRule>
  </conditionalFormatting>
  <conditionalFormatting sqref="V86">
    <cfRule type="expression" dxfId="35" priority="16">
      <formula>V86="Alta"</formula>
    </cfRule>
    <cfRule type="expression" dxfId="34" priority="17">
      <formula>V86="Media"</formula>
    </cfRule>
    <cfRule type="expression" dxfId="33" priority="18">
      <formula>V86="Baja"</formula>
    </cfRule>
  </conditionalFormatting>
  <conditionalFormatting sqref="W86">
    <cfRule type="expression" dxfId="32" priority="13">
      <formula>W86="Alta"</formula>
    </cfRule>
    <cfRule type="expression" dxfId="31" priority="14">
      <formula>W86="Media"</formula>
    </cfRule>
    <cfRule type="expression" dxfId="30" priority="15">
      <formula>W86="Baja"</formula>
    </cfRule>
  </conditionalFormatting>
  <conditionalFormatting sqref="X86">
    <cfRule type="expression" dxfId="29" priority="10">
      <formula>X86="ALTO"</formula>
    </cfRule>
    <cfRule type="expression" dxfId="28" priority="11">
      <formula>X86="MEDIO"</formula>
    </cfRule>
    <cfRule type="expression" dxfId="27" priority="12">
      <formula>X86="BAJO"</formula>
    </cfRule>
  </conditionalFormatting>
  <conditionalFormatting sqref="V92">
    <cfRule type="expression" dxfId="26" priority="7">
      <formula>V92="Alta"</formula>
    </cfRule>
    <cfRule type="expression" dxfId="25" priority="8">
      <formula>V92="Media"</formula>
    </cfRule>
    <cfRule type="expression" dxfId="24" priority="9">
      <formula>V92="Baja"</formula>
    </cfRule>
  </conditionalFormatting>
  <conditionalFormatting sqref="W92">
    <cfRule type="expression" dxfId="23" priority="4">
      <formula>W92="Alta"</formula>
    </cfRule>
    <cfRule type="expression" dxfId="22" priority="5">
      <formula>W92="Media"</formula>
    </cfRule>
    <cfRule type="expression" dxfId="21" priority="6">
      <formula>W92="Baja"</formula>
    </cfRule>
  </conditionalFormatting>
  <conditionalFormatting sqref="X92">
    <cfRule type="expression" dxfId="20" priority="1">
      <formula>X92="ALTO"</formula>
    </cfRule>
    <cfRule type="expression" dxfId="19" priority="2">
      <formula>X92="MEDIO"</formula>
    </cfRule>
    <cfRule type="expression" dxfId="18" priority="3">
      <formula>X92="BAJO"</formula>
    </cfRule>
  </conditionalFormatting>
  <printOptions horizontalCentered="1"/>
  <pageMargins left="0.59055118110236227" right="0.59055118110236227" top="0.78740157480314965" bottom="0.39370078740157483" header="0.31496062992125984" footer="0.11811023622047245"/>
  <pageSetup scale="2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4" tint="0.59999389629810485"/>
    <pageSetUpPr fitToPage="1"/>
  </sheetPr>
  <dimension ref="A1:AD113"/>
  <sheetViews>
    <sheetView showGridLines="0" showRowColHeaders="0" topLeftCell="B1" zoomScaleNormal="100" workbookViewId="0">
      <selection activeCell="B1" sqref="B1:G1"/>
    </sheetView>
  </sheetViews>
  <sheetFormatPr defaultColWidth="11.42578125" defaultRowHeight="15" x14ac:dyDescent="0.25"/>
  <cols>
    <col min="1" max="1" width="25.42578125" bestFit="1" customWidth="1"/>
    <col min="2" max="2" width="30.5703125" customWidth="1"/>
    <col min="3" max="3" width="57.42578125" customWidth="1"/>
    <col min="4" max="4" width="37.85546875" customWidth="1"/>
    <col min="5" max="5" width="23" customWidth="1"/>
    <col min="6" max="6" width="17.140625" customWidth="1"/>
    <col min="7" max="7" width="20.5703125" bestFit="1" customWidth="1"/>
    <col min="8" max="8" width="17.5703125" bestFit="1" customWidth="1"/>
    <col min="9" max="9" width="33.42578125" customWidth="1"/>
    <col min="10" max="10" width="26.85546875" customWidth="1"/>
    <col min="11" max="12" width="5.5703125" customWidth="1"/>
    <col min="23" max="23" width="12" bestFit="1" customWidth="1"/>
    <col min="24" max="24" width="11.5703125" bestFit="1" customWidth="1"/>
    <col min="25" max="25" width="12" bestFit="1" customWidth="1"/>
    <col min="27" max="27" width="12.5703125" bestFit="1" customWidth="1"/>
    <col min="29" max="29" width="12.5703125" bestFit="1" customWidth="1"/>
  </cols>
  <sheetData>
    <row r="1" spans="1:30" ht="75" customHeight="1" x14ac:dyDescent="0.25">
      <c r="A1" s="82"/>
      <c r="B1" s="342" t="s">
        <v>280</v>
      </c>
      <c r="C1" s="343"/>
      <c r="D1" s="343"/>
      <c r="E1" s="343"/>
      <c r="F1" s="343"/>
      <c r="G1" s="343"/>
      <c r="H1" s="82"/>
      <c r="I1" s="82"/>
      <c r="J1" s="82"/>
      <c r="K1" s="55"/>
      <c r="L1" s="55"/>
      <c r="M1" s="55"/>
      <c r="N1" s="55"/>
      <c r="O1" s="55"/>
      <c r="P1" s="55"/>
      <c r="Q1" s="55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</row>
    <row r="2" spans="1:30" ht="15" customHeigh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55"/>
      <c r="L2" s="55"/>
      <c r="M2" s="55"/>
      <c r="N2" s="55"/>
      <c r="O2" s="55"/>
      <c r="P2" s="55"/>
      <c r="Q2" s="55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</row>
    <row r="3" spans="1:30" ht="15" customHeight="1" x14ac:dyDescent="0.25">
      <c r="A3" s="82"/>
      <c r="B3" s="82"/>
      <c r="C3" s="82"/>
      <c r="D3" s="82"/>
      <c r="E3" s="82"/>
      <c r="F3" s="82"/>
      <c r="G3" s="82"/>
      <c r="H3" s="82"/>
      <c r="I3" s="82"/>
      <c r="J3" s="82"/>
      <c r="K3" s="55"/>
      <c r="L3" s="55"/>
      <c r="M3" s="55"/>
      <c r="N3" s="55"/>
      <c r="O3" s="55"/>
      <c r="P3" s="55"/>
      <c r="Q3" s="55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</row>
    <row r="4" spans="1:30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</row>
    <row r="5" spans="1:30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</row>
    <row r="6" spans="1:30" ht="15.75" thickBot="1" x14ac:dyDescent="0.3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</row>
    <row r="7" spans="1:30" ht="17.25" customHeight="1" thickTop="1" thickBot="1" x14ac:dyDescent="0.35">
      <c r="A7" s="365" t="s">
        <v>40</v>
      </c>
      <c r="B7" s="367" t="s">
        <v>59</v>
      </c>
      <c r="C7" s="385" t="s">
        <v>14</v>
      </c>
      <c r="D7" s="348"/>
      <c r="E7" s="348"/>
      <c r="F7" s="348"/>
      <c r="G7" s="348"/>
      <c r="H7" s="348"/>
      <c r="I7" s="348"/>
      <c r="J7" s="348"/>
      <c r="K7" s="348"/>
      <c r="L7" s="386"/>
      <c r="M7" s="381" t="s">
        <v>18</v>
      </c>
      <c r="N7" s="382"/>
      <c r="O7" s="382"/>
      <c r="P7" s="383"/>
      <c r="Q7" s="369" t="s">
        <v>21</v>
      </c>
      <c r="R7" s="370"/>
      <c r="S7" s="370"/>
      <c r="T7" s="370"/>
      <c r="U7" s="384"/>
      <c r="V7" s="83"/>
      <c r="W7" s="344" t="s">
        <v>79</v>
      </c>
      <c r="X7" s="345"/>
      <c r="Y7" s="346"/>
      <c r="Z7" s="84"/>
      <c r="AA7" s="347" t="s">
        <v>77</v>
      </c>
      <c r="AB7" s="348"/>
      <c r="AC7" s="349"/>
      <c r="AD7" s="85"/>
    </row>
    <row r="8" spans="1:30" ht="102" x14ac:dyDescent="0.3">
      <c r="A8" s="366"/>
      <c r="B8" s="368"/>
      <c r="C8" s="86" t="s">
        <v>0</v>
      </c>
      <c r="D8" s="350" t="s">
        <v>256</v>
      </c>
      <c r="E8" s="351"/>
      <c r="F8" s="352"/>
      <c r="G8" s="87" t="s">
        <v>15</v>
      </c>
      <c r="H8" s="88" t="s">
        <v>4</v>
      </c>
      <c r="I8" s="88" t="s">
        <v>7</v>
      </c>
      <c r="J8" s="89" t="s">
        <v>5</v>
      </c>
      <c r="K8" s="88" t="s">
        <v>6</v>
      </c>
      <c r="L8" s="88" t="s">
        <v>23</v>
      </c>
      <c r="M8" s="90" t="s">
        <v>27</v>
      </c>
      <c r="N8" s="90" t="s">
        <v>24</v>
      </c>
      <c r="O8" s="90" t="s">
        <v>26</v>
      </c>
      <c r="P8" s="90" t="s">
        <v>28</v>
      </c>
      <c r="Q8" s="91" t="s">
        <v>19</v>
      </c>
      <c r="R8" s="92" t="s">
        <v>25</v>
      </c>
      <c r="S8" s="92" t="s">
        <v>30</v>
      </c>
      <c r="T8" s="92" t="s">
        <v>20</v>
      </c>
      <c r="U8" s="93" t="s">
        <v>29</v>
      </c>
      <c r="V8" s="83"/>
      <c r="W8" s="94" t="s">
        <v>18</v>
      </c>
      <c r="X8" s="95" t="s">
        <v>21</v>
      </c>
      <c r="Y8" s="96" t="s">
        <v>12</v>
      </c>
      <c r="Z8" s="84"/>
      <c r="AA8" s="97" t="s">
        <v>100</v>
      </c>
      <c r="AB8" s="98" t="s">
        <v>101</v>
      </c>
      <c r="AC8" s="99" t="s">
        <v>102</v>
      </c>
      <c r="AD8" s="85"/>
    </row>
    <row r="9" spans="1:30" ht="16.5" customHeight="1" thickBot="1" x14ac:dyDescent="0.35">
      <c r="A9" s="353" t="s">
        <v>255</v>
      </c>
      <c r="B9" s="356" t="s">
        <v>217</v>
      </c>
      <c r="C9" s="100">
        <v>1</v>
      </c>
      <c r="D9" s="372" t="s">
        <v>271</v>
      </c>
      <c r="E9" s="373"/>
      <c r="F9" s="374"/>
      <c r="G9" s="101" t="s">
        <v>206</v>
      </c>
      <c r="H9" s="102" t="s">
        <v>252</v>
      </c>
      <c r="I9" s="103">
        <v>44439</v>
      </c>
      <c r="J9" s="104" t="s">
        <v>253</v>
      </c>
      <c r="K9" s="104" t="s">
        <v>75</v>
      </c>
      <c r="L9" s="104" t="s">
        <v>254</v>
      </c>
      <c r="M9" s="102" t="s">
        <v>123</v>
      </c>
      <c r="N9" s="102" t="s">
        <v>69</v>
      </c>
      <c r="O9" s="105" t="s">
        <v>71</v>
      </c>
      <c r="P9" s="105" t="s">
        <v>73</v>
      </c>
      <c r="Q9" s="105" t="s">
        <v>75</v>
      </c>
      <c r="R9" s="105" t="s">
        <v>75</v>
      </c>
      <c r="S9" s="105" t="s">
        <v>76</v>
      </c>
      <c r="T9" s="105" t="s">
        <v>75</v>
      </c>
      <c r="U9" s="106" t="s">
        <v>75</v>
      </c>
      <c r="V9" s="83"/>
      <c r="W9" s="107">
        <v>100.00000000000003</v>
      </c>
      <c r="X9" s="108">
        <v>0.2</v>
      </c>
      <c r="Y9" s="109">
        <v>80.000000000000028</v>
      </c>
      <c r="Z9" s="84"/>
      <c r="AA9" s="110">
        <v>80.000000000000028</v>
      </c>
      <c r="AB9" s="111" t="s">
        <v>257</v>
      </c>
      <c r="AC9" s="112">
        <v>80.000000000000028</v>
      </c>
      <c r="AD9" s="85"/>
    </row>
    <row r="10" spans="1:30" ht="16.5" customHeight="1" thickTop="1" x14ac:dyDescent="0.3">
      <c r="A10" s="354"/>
      <c r="B10" s="357"/>
      <c r="C10" s="100">
        <v>2</v>
      </c>
      <c r="D10" s="375"/>
      <c r="E10" s="376"/>
      <c r="F10" s="377"/>
      <c r="G10" s="101"/>
      <c r="H10" s="102"/>
      <c r="I10" s="103"/>
      <c r="J10" s="104"/>
      <c r="K10" s="104"/>
      <c r="L10" s="104"/>
      <c r="M10" s="102"/>
      <c r="N10" s="102"/>
      <c r="O10" s="105"/>
      <c r="P10" s="105"/>
      <c r="Q10" s="105"/>
      <c r="R10" s="105"/>
      <c r="S10" s="105"/>
      <c r="T10" s="105"/>
      <c r="U10" s="106"/>
      <c r="V10" s="83"/>
      <c r="W10" s="107" t="s">
        <v>257</v>
      </c>
      <c r="X10" s="108" t="s">
        <v>257</v>
      </c>
      <c r="Y10" s="109" t="s">
        <v>257</v>
      </c>
      <c r="Z10" s="84"/>
      <c r="AA10" s="84"/>
      <c r="AB10" s="84"/>
      <c r="AC10" s="84"/>
      <c r="AD10" s="85"/>
    </row>
    <row r="11" spans="1:30" ht="16.5" customHeight="1" x14ac:dyDescent="0.3">
      <c r="A11" s="354"/>
      <c r="B11" s="357"/>
      <c r="C11" s="100">
        <v>3</v>
      </c>
      <c r="D11" s="375"/>
      <c r="E11" s="376"/>
      <c r="F11" s="377"/>
      <c r="G11" s="101"/>
      <c r="H11" s="102"/>
      <c r="I11" s="103"/>
      <c r="J11" s="104"/>
      <c r="K11" s="104"/>
      <c r="L11" s="104"/>
      <c r="M11" s="102"/>
      <c r="N11" s="102"/>
      <c r="O11" s="105"/>
      <c r="P11" s="105"/>
      <c r="Q11" s="105"/>
      <c r="R11" s="105"/>
      <c r="S11" s="105"/>
      <c r="T11" s="105"/>
      <c r="U11" s="106"/>
      <c r="V11" s="83"/>
      <c r="W11" s="107" t="s">
        <v>257</v>
      </c>
      <c r="X11" s="108" t="s">
        <v>257</v>
      </c>
      <c r="Y11" s="109" t="s">
        <v>257</v>
      </c>
      <c r="Z11" s="84"/>
      <c r="AA11" s="84"/>
      <c r="AB11" s="84"/>
      <c r="AC11" s="84"/>
      <c r="AD11" s="85"/>
    </row>
    <row r="12" spans="1:30" ht="16.5" customHeight="1" x14ac:dyDescent="0.3">
      <c r="A12" s="354"/>
      <c r="B12" s="357"/>
      <c r="C12" s="100">
        <v>4</v>
      </c>
      <c r="D12" s="378"/>
      <c r="E12" s="379"/>
      <c r="F12" s="380"/>
      <c r="G12" s="101"/>
      <c r="H12" s="102"/>
      <c r="I12" s="103"/>
      <c r="J12" s="104"/>
      <c r="K12" s="104"/>
      <c r="L12" s="104"/>
      <c r="M12" s="102"/>
      <c r="N12" s="102"/>
      <c r="O12" s="105"/>
      <c r="P12" s="105"/>
      <c r="Q12" s="105"/>
      <c r="R12" s="105"/>
      <c r="S12" s="105"/>
      <c r="T12" s="105"/>
      <c r="U12" s="106"/>
      <c r="V12" s="83"/>
      <c r="W12" s="107" t="s">
        <v>257</v>
      </c>
      <c r="X12" s="108" t="s">
        <v>257</v>
      </c>
      <c r="Y12" s="109" t="s">
        <v>257</v>
      </c>
      <c r="Z12" s="84"/>
      <c r="AA12" s="84"/>
      <c r="AB12" s="84"/>
      <c r="AC12" s="84"/>
      <c r="AD12" s="85"/>
    </row>
    <row r="13" spans="1:30" ht="16.5" customHeight="1" thickBot="1" x14ac:dyDescent="0.35">
      <c r="A13" s="355"/>
      <c r="B13" s="358"/>
      <c r="C13" s="113">
        <v>5</v>
      </c>
      <c r="D13" s="362" t="s">
        <v>242</v>
      </c>
      <c r="E13" s="363"/>
      <c r="F13" s="364"/>
      <c r="G13" s="114"/>
      <c r="H13" s="115"/>
      <c r="I13" s="116"/>
      <c r="J13" s="117"/>
      <c r="K13" s="117"/>
      <c r="L13" s="117"/>
      <c r="M13" s="115"/>
      <c r="N13" s="115"/>
      <c r="O13" s="118"/>
      <c r="P13" s="118"/>
      <c r="Q13" s="118"/>
      <c r="R13" s="118"/>
      <c r="S13" s="118"/>
      <c r="T13" s="118"/>
      <c r="U13" s="119"/>
      <c r="V13" s="83"/>
      <c r="W13" s="120" t="s">
        <v>257</v>
      </c>
      <c r="X13" s="121" t="s">
        <v>257</v>
      </c>
      <c r="Y13" s="122" t="s">
        <v>257</v>
      </c>
      <c r="Z13" s="84"/>
      <c r="AA13" s="84"/>
      <c r="AB13" s="84"/>
      <c r="AC13" s="84"/>
      <c r="AD13" s="85"/>
    </row>
    <row r="14" spans="1:30" ht="16.5" customHeight="1" thickTop="1" thickBot="1" x14ac:dyDescent="0.35">
      <c r="A14" s="365" t="s">
        <v>40</v>
      </c>
      <c r="B14" s="367" t="s">
        <v>59</v>
      </c>
      <c r="C14" s="369" t="s">
        <v>14</v>
      </c>
      <c r="D14" s="370"/>
      <c r="E14" s="370"/>
      <c r="F14" s="370"/>
      <c r="G14" s="370"/>
      <c r="H14" s="370"/>
      <c r="I14" s="370"/>
      <c r="J14" s="370"/>
      <c r="K14" s="370"/>
      <c r="L14" s="371"/>
      <c r="M14" s="381" t="s">
        <v>18</v>
      </c>
      <c r="N14" s="382"/>
      <c r="O14" s="382"/>
      <c r="P14" s="383"/>
      <c r="Q14" s="369" t="s">
        <v>21</v>
      </c>
      <c r="R14" s="370"/>
      <c r="S14" s="370"/>
      <c r="T14" s="370"/>
      <c r="U14" s="384"/>
      <c r="V14" s="83"/>
      <c r="W14" s="344" t="s">
        <v>79</v>
      </c>
      <c r="X14" s="345"/>
      <c r="Y14" s="346"/>
      <c r="Z14" s="84"/>
      <c r="AA14" s="347" t="s">
        <v>77</v>
      </c>
      <c r="AB14" s="348"/>
      <c r="AC14" s="349"/>
      <c r="AD14" s="85"/>
    </row>
    <row r="15" spans="1:30" ht="16.5" customHeight="1" x14ac:dyDescent="0.3">
      <c r="A15" s="366"/>
      <c r="B15" s="368"/>
      <c r="C15" s="86" t="s">
        <v>0</v>
      </c>
      <c r="D15" s="350" t="s">
        <v>256</v>
      </c>
      <c r="E15" s="351"/>
      <c r="F15" s="352"/>
      <c r="G15" s="87" t="s">
        <v>15</v>
      </c>
      <c r="H15" s="88" t="s">
        <v>4</v>
      </c>
      <c r="I15" s="88" t="s">
        <v>7</v>
      </c>
      <c r="J15" s="89" t="s">
        <v>5</v>
      </c>
      <c r="K15" s="88" t="s">
        <v>6</v>
      </c>
      <c r="L15" s="88" t="s">
        <v>23</v>
      </c>
      <c r="M15" s="90" t="s">
        <v>27</v>
      </c>
      <c r="N15" s="90" t="s">
        <v>24</v>
      </c>
      <c r="O15" s="90" t="s">
        <v>26</v>
      </c>
      <c r="P15" s="90" t="s">
        <v>28</v>
      </c>
      <c r="Q15" s="91" t="s">
        <v>19</v>
      </c>
      <c r="R15" s="92" t="s">
        <v>25</v>
      </c>
      <c r="S15" s="92" t="s">
        <v>30</v>
      </c>
      <c r="T15" s="92" t="s">
        <v>20</v>
      </c>
      <c r="U15" s="93" t="s">
        <v>29</v>
      </c>
      <c r="V15" s="83"/>
      <c r="W15" s="94" t="s">
        <v>18</v>
      </c>
      <c r="X15" s="95" t="s">
        <v>21</v>
      </c>
      <c r="Y15" s="96" t="s">
        <v>12</v>
      </c>
      <c r="Z15" s="84"/>
      <c r="AA15" s="97" t="s">
        <v>100</v>
      </c>
      <c r="AB15" s="98" t="s">
        <v>101</v>
      </c>
      <c r="AC15" s="99" t="s">
        <v>102</v>
      </c>
      <c r="AD15" s="85"/>
    </row>
    <row r="16" spans="1:30" ht="16.5" customHeight="1" thickBot="1" x14ac:dyDescent="0.35">
      <c r="A16" s="353" t="s">
        <v>259</v>
      </c>
      <c r="B16" s="356" t="s">
        <v>209</v>
      </c>
      <c r="C16" s="100">
        <v>1</v>
      </c>
      <c r="D16" s="387" t="s">
        <v>293</v>
      </c>
      <c r="E16" s="388"/>
      <c r="F16" s="389"/>
      <c r="G16" s="101" t="s">
        <v>241</v>
      </c>
      <c r="H16" s="102" t="s">
        <v>258</v>
      </c>
      <c r="I16" s="103">
        <v>44439</v>
      </c>
      <c r="J16" s="104" t="s">
        <v>253</v>
      </c>
      <c r="K16" s="104" t="s">
        <v>75</v>
      </c>
      <c r="L16" s="104" t="s">
        <v>254</v>
      </c>
      <c r="M16" s="102" t="s">
        <v>123</v>
      </c>
      <c r="N16" s="102" t="s">
        <v>69</v>
      </c>
      <c r="O16" s="105" t="s">
        <v>71</v>
      </c>
      <c r="P16" s="105" t="s">
        <v>73</v>
      </c>
      <c r="Q16" s="105" t="s">
        <v>75</v>
      </c>
      <c r="R16" s="105" t="s">
        <v>75</v>
      </c>
      <c r="S16" s="105" t="s">
        <v>76</v>
      </c>
      <c r="T16" s="105" t="s">
        <v>75</v>
      </c>
      <c r="U16" s="106" t="s">
        <v>75</v>
      </c>
      <c r="V16" s="83"/>
      <c r="W16" s="107" t="s">
        <v>257</v>
      </c>
      <c r="X16" s="108" t="s">
        <v>257</v>
      </c>
      <c r="Y16" s="109" t="s">
        <v>257</v>
      </c>
      <c r="Z16" s="84"/>
      <c r="AA16" s="110" t="s">
        <v>257</v>
      </c>
      <c r="AB16" s="111" t="s">
        <v>257</v>
      </c>
      <c r="AC16" s="112" t="s">
        <v>257</v>
      </c>
      <c r="AD16" s="85"/>
    </row>
    <row r="17" spans="1:30" ht="16.5" customHeight="1" thickTop="1" x14ac:dyDescent="0.3">
      <c r="A17" s="354"/>
      <c r="B17" s="357"/>
      <c r="C17" s="100">
        <v>2</v>
      </c>
      <c r="D17" s="390"/>
      <c r="E17" s="391"/>
      <c r="F17" s="392"/>
      <c r="G17" s="101"/>
      <c r="H17" s="102"/>
      <c r="I17" s="103"/>
      <c r="J17" s="104"/>
      <c r="K17" s="104"/>
      <c r="L17" s="104"/>
      <c r="M17" s="102"/>
      <c r="N17" s="102"/>
      <c r="O17" s="105"/>
      <c r="P17" s="105"/>
      <c r="Q17" s="105"/>
      <c r="R17" s="105"/>
      <c r="S17" s="105"/>
      <c r="T17" s="105"/>
      <c r="U17" s="106"/>
      <c r="V17" s="83"/>
      <c r="W17" s="107" t="s">
        <v>257</v>
      </c>
      <c r="X17" s="108" t="s">
        <v>257</v>
      </c>
      <c r="Y17" s="109" t="s">
        <v>257</v>
      </c>
      <c r="Z17" s="84"/>
      <c r="AA17" s="84"/>
      <c r="AB17" s="84"/>
      <c r="AC17" s="84"/>
      <c r="AD17" s="85"/>
    </row>
    <row r="18" spans="1:30" ht="16.5" customHeight="1" x14ac:dyDescent="0.3">
      <c r="A18" s="354"/>
      <c r="B18" s="357"/>
      <c r="C18" s="100">
        <v>3</v>
      </c>
      <c r="D18" s="390"/>
      <c r="E18" s="391"/>
      <c r="F18" s="392"/>
      <c r="G18" s="101"/>
      <c r="H18" s="102"/>
      <c r="I18" s="103"/>
      <c r="J18" s="104"/>
      <c r="K18" s="104"/>
      <c r="L18" s="104"/>
      <c r="M18" s="102"/>
      <c r="N18" s="102"/>
      <c r="O18" s="105"/>
      <c r="P18" s="105"/>
      <c r="Q18" s="105"/>
      <c r="R18" s="105"/>
      <c r="S18" s="105"/>
      <c r="T18" s="105"/>
      <c r="U18" s="106"/>
      <c r="V18" s="83"/>
      <c r="W18" s="107" t="s">
        <v>257</v>
      </c>
      <c r="X18" s="108" t="s">
        <v>257</v>
      </c>
      <c r="Y18" s="109" t="s">
        <v>257</v>
      </c>
      <c r="Z18" s="84"/>
      <c r="AA18" s="84"/>
      <c r="AB18" s="84"/>
      <c r="AC18" s="84"/>
      <c r="AD18" s="85"/>
    </row>
    <row r="19" spans="1:30" ht="16.5" customHeight="1" x14ac:dyDescent="0.3">
      <c r="A19" s="354"/>
      <c r="B19" s="357"/>
      <c r="C19" s="100">
        <v>4</v>
      </c>
      <c r="D19" s="393"/>
      <c r="E19" s="394"/>
      <c r="F19" s="395"/>
      <c r="G19" s="101"/>
      <c r="H19" s="102"/>
      <c r="I19" s="103"/>
      <c r="J19" s="104"/>
      <c r="K19" s="104"/>
      <c r="L19" s="104"/>
      <c r="M19" s="102"/>
      <c r="N19" s="102"/>
      <c r="O19" s="105"/>
      <c r="P19" s="105"/>
      <c r="Q19" s="105"/>
      <c r="R19" s="105"/>
      <c r="S19" s="105"/>
      <c r="T19" s="105"/>
      <c r="U19" s="106"/>
      <c r="V19" s="83"/>
      <c r="W19" s="107" t="s">
        <v>257</v>
      </c>
      <c r="X19" s="108" t="s">
        <v>257</v>
      </c>
      <c r="Y19" s="109" t="s">
        <v>257</v>
      </c>
      <c r="Z19" s="84"/>
      <c r="AA19" s="84"/>
      <c r="AB19" s="84"/>
      <c r="AC19" s="84"/>
      <c r="AD19" s="85"/>
    </row>
    <row r="20" spans="1:30" ht="16.5" customHeight="1" thickBot="1" x14ac:dyDescent="0.35">
      <c r="A20" s="355"/>
      <c r="B20" s="358"/>
      <c r="C20" s="113">
        <v>5</v>
      </c>
      <c r="D20" s="362" t="s">
        <v>242</v>
      </c>
      <c r="E20" s="363"/>
      <c r="F20" s="364"/>
      <c r="G20" s="114"/>
      <c r="H20" s="115"/>
      <c r="I20" s="116"/>
      <c r="J20" s="117"/>
      <c r="K20" s="117"/>
      <c r="L20" s="117"/>
      <c r="M20" s="115"/>
      <c r="N20" s="115"/>
      <c r="O20" s="118"/>
      <c r="P20" s="118"/>
      <c r="Q20" s="118"/>
      <c r="R20" s="118"/>
      <c r="S20" s="118"/>
      <c r="T20" s="118"/>
      <c r="U20" s="119"/>
      <c r="V20" s="83"/>
      <c r="W20" s="120" t="s">
        <v>257</v>
      </c>
      <c r="X20" s="121" t="s">
        <v>257</v>
      </c>
      <c r="Y20" s="122" t="s">
        <v>257</v>
      </c>
      <c r="Z20" s="84"/>
      <c r="AA20" s="84"/>
      <c r="AB20" s="84"/>
      <c r="AC20" s="84"/>
      <c r="AD20" s="85"/>
    </row>
    <row r="21" spans="1:30" ht="16.5" customHeight="1" thickTop="1" thickBot="1" x14ac:dyDescent="0.35">
      <c r="A21" s="365" t="s">
        <v>40</v>
      </c>
      <c r="B21" s="367" t="s">
        <v>59</v>
      </c>
      <c r="C21" s="369" t="s">
        <v>14</v>
      </c>
      <c r="D21" s="370"/>
      <c r="E21" s="370"/>
      <c r="F21" s="370"/>
      <c r="G21" s="370"/>
      <c r="H21" s="370"/>
      <c r="I21" s="370"/>
      <c r="J21" s="370"/>
      <c r="K21" s="370"/>
      <c r="L21" s="371"/>
      <c r="M21" s="381" t="s">
        <v>18</v>
      </c>
      <c r="N21" s="382"/>
      <c r="O21" s="382"/>
      <c r="P21" s="383"/>
      <c r="Q21" s="369" t="s">
        <v>21</v>
      </c>
      <c r="R21" s="370"/>
      <c r="S21" s="370"/>
      <c r="T21" s="370"/>
      <c r="U21" s="384"/>
      <c r="V21" s="83"/>
      <c r="W21" s="344" t="s">
        <v>79</v>
      </c>
      <c r="X21" s="345"/>
      <c r="Y21" s="346"/>
      <c r="Z21" s="84"/>
      <c r="AA21" s="347" t="s">
        <v>77</v>
      </c>
      <c r="AB21" s="348"/>
      <c r="AC21" s="349"/>
      <c r="AD21" s="85"/>
    </row>
    <row r="22" spans="1:30" ht="16.5" customHeight="1" x14ac:dyDescent="0.3">
      <c r="A22" s="366"/>
      <c r="B22" s="368"/>
      <c r="C22" s="86" t="s">
        <v>0</v>
      </c>
      <c r="D22" s="350" t="s">
        <v>256</v>
      </c>
      <c r="E22" s="351"/>
      <c r="F22" s="352"/>
      <c r="G22" s="87" t="s">
        <v>15</v>
      </c>
      <c r="H22" s="88" t="s">
        <v>4</v>
      </c>
      <c r="I22" s="88" t="s">
        <v>7</v>
      </c>
      <c r="J22" s="89" t="s">
        <v>5</v>
      </c>
      <c r="K22" s="88" t="s">
        <v>6</v>
      </c>
      <c r="L22" s="88" t="s">
        <v>23</v>
      </c>
      <c r="M22" s="90" t="s">
        <v>27</v>
      </c>
      <c r="N22" s="90" t="s">
        <v>24</v>
      </c>
      <c r="O22" s="90" t="s">
        <v>26</v>
      </c>
      <c r="P22" s="90" t="s">
        <v>28</v>
      </c>
      <c r="Q22" s="91" t="s">
        <v>19</v>
      </c>
      <c r="R22" s="92" t="s">
        <v>25</v>
      </c>
      <c r="S22" s="92" t="s">
        <v>30</v>
      </c>
      <c r="T22" s="92" t="s">
        <v>20</v>
      </c>
      <c r="U22" s="93" t="s">
        <v>29</v>
      </c>
      <c r="V22" s="83"/>
      <c r="W22" s="94" t="s">
        <v>18</v>
      </c>
      <c r="X22" s="95" t="s">
        <v>21</v>
      </c>
      <c r="Y22" s="96" t="s">
        <v>12</v>
      </c>
      <c r="Z22" s="84"/>
      <c r="AA22" s="97" t="s">
        <v>100</v>
      </c>
      <c r="AB22" s="98" t="s">
        <v>101</v>
      </c>
      <c r="AC22" s="99" t="s">
        <v>102</v>
      </c>
      <c r="AD22" s="85"/>
    </row>
    <row r="23" spans="1:30" ht="16.5" customHeight="1" thickBot="1" x14ac:dyDescent="0.35">
      <c r="A23" s="353" t="s">
        <v>260</v>
      </c>
      <c r="B23" s="356" t="s">
        <v>296</v>
      </c>
      <c r="C23" s="100">
        <v>1</v>
      </c>
      <c r="D23" s="387" t="s">
        <v>291</v>
      </c>
      <c r="E23" s="388"/>
      <c r="F23" s="389"/>
      <c r="G23" s="101" t="s">
        <v>207</v>
      </c>
      <c r="H23" s="102" t="s">
        <v>252</v>
      </c>
      <c r="I23" s="103">
        <v>44439</v>
      </c>
      <c r="J23" s="104" t="s">
        <v>253</v>
      </c>
      <c r="K23" s="104" t="s">
        <v>75</v>
      </c>
      <c r="L23" s="104" t="s">
        <v>254</v>
      </c>
      <c r="M23" s="102" t="s">
        <v>123</v>
      </c>
      <c r="N23" s="102" t="s">
        <v>69</v>
      </c>
      <c r="O23" s="105" t="s">
        <v>71</v>
      </c>
      <c r="P23" s="105" t="s">
        <v>73</v>
      </c>
      <c r="Q23" s="105" t="s">
        <v>75</v>
      </c>
      <c r="R23" s="105" t="s">
        <v>75</v>
      </c>
      <c r="S23" s="105" t="s">
        <v>75</v>
      </c>
      <c r="T23" s="105" t="s">
        <v>75</v>
      </c>
      <c r="U23" s="106" t="s">
        <v>75</v>
      </c>
      <c r="V23" s="83"/>
      <c r="W23" s="107">
        <v>100.00000000000003</v>
      </c>
      <c r="X23" s="108">
        <v>0</v>
      </c>
      <c r="Y23" s="109">
        <v>100.00000000000003</v>
      </c>
      <c r="Z23" s="84"/>
      <c r="AA23" s="110">
        <v>100.00000000000003</v>
      </c>
      <c r="AB23" s="111" t="s">
        <v>257</v>
      </c>
      <c r="AC23" s="112">
        <v>100.00000000000003</v>
      </c>
      <c r="AD23" s="85"/>
    </row>
    <row r="24" spans="1:30" ht="16.5" customHeight="1" thickTop="1" x14ac:dyDescent="0.3">
      <c r="A24" s="354"/>
      <c r="B24" s="357"/>
      <c r="C24" s="100">
        <v>2</v>
      </c>
      <c r="D24" s="390"/>
      <c r="E24" s="391"/>
      <c r="F24" s="392"/>
      <c r="G24" s="101"/>
      <c r="H24" s="102"/>
      <c r="I24" s="103"/>
      <c r="J24" s="104"/>
      <c r="K24" s="104"/>
      <c r="L24" s="104"/>
      <c r="M24" s="102"/>
      <c r="N24" s="102"/>
      <c r="O24" s="105"/>
      <c r="P24" s="105"/>
      <c r="Q24" s="105"/>
      <c r="R24" s="105"/>
      <c r="S24" s="105"/>
      <c r="T24" s="105"/>
      <c r="U24" s="106"/>
      <c r="V24" s="83"/>
      <c r="W24" s="107" t="s">
        <v>257</v>
      </c>
      <c r="X24" s="108" t="s">
        <v>257</v>
      </c>
      <c r="Y24" s="109" t="s">
        <v>257</v>
      </c>
      <c r="Z24" s="84"/>
      <c r="AA24" s="84"/>
      <c r="AB24" s="84"/>
      <c r="AC24" s="84"/>
      <c r="AD24" s="85"/>
    </row>
    <row r="25" spans="1:30" ht="16.5" customHeight="1" x14ac:dyDescent="0.3">
      <c r="A25" s="354"/>
      <c r="B25" s="357"/>
      <c r="C25" s="100">
        <v>3</v>
      </c>
      <c r="D25" s="393"/>
      <c r="E25" s="394"/>
      <c r="F25" s="395"/>
      <c r="G25" s="101"/>
      <c r="H25" s="102"/>
      <c r="I25" s="103"/>
      <c r="J25" s="104"/>
      <c r="K25" s="104"/>
      <c r="L25" s="104"/>
      <c r="M25" s="102"/>
      <c r="N25" s="102"/>
      <c r="O25" s="105"/>
      <c r="P25" s="105"/>
      <c r="Q25" s="105"/>
      <c r="R25" s="105"/>
      <c r="S25" s="105"/>
      <c r="T25" s="105"/>
      <c r="U25" s="106"/>
      <c r="V25" s="83"/>
      <c r="W25" s="107" t="s">
        <v>257</v>
      </c>
      <c r="X25" s="108" t="s">
        <v>257</v>
      </c>
      <c r="Y25" s="109" t="s">
        <v>257</v>
      </c>
      <c r="Z25" s="84"/>
      <c r="AA25" s="84"/>
      <c r="AB25" s="84"/>
      <c r="AC25" s="84"/>
      <c r="AD25" s="85"/>
    </row>
    <row r="26" spans="1:30" ht="16.5" customHeight="1" x14ac:dyDescent="0.3">
      <c r="A26" s="354"/>
      <c r="B26" s="357"/>
      <c r="C26" s="100">
        <v>4</v>
      </c>
      <c r="D26" s="359" t="s">
        <v>242</v>
      </c>
      <c r="E26" s="360"/>
      <c r="F26" s="361"/>
      <c r="G26" s="101"/>
      <c r="H26" s="102"/>
      <c r="I26" s="103"/>
      <c r="J26" s="104"/>
      <c r="K26" s="104"/>
      <c r="L26" s="104"/>
      <c r="M26" s="102"/>
      <c r="N26" s="102"/>
      <c r="O26" s="105"/>
      <c r="P26" s="105"/>
      <c r="Q26" s="105"/>
      <c r="R26" s="105"/>
      <c r="S26" s="105"/>
      <c r="T26" s="105"/>
      <c r="U26" s="106"/>
      <c r="V26" s="83"/>
      <c r="W26" s="107" t="s">
        <v>257</v>
      </c>
      <c r="X26" s="108" t="s">
        <v>257</v>
      </c>
      <c r="Y26" s="109" t="s">
        <v>257</v>
      </c>
      <c r="Z26" s="84"/>
      <c r="AA26" s="84"/>
      <c r="AB26" s="84"/>
      <c r="AC26" s="84"/>
      <c r="AD26" s="85"/>
    </row>
    <row r="27" spans="1:30" ht="16.5" customHeight="1" thickBot="1" x14ac:dyDescent="0.35">
      <c r="A27" s="355"/>
      <c r="B27" s="358"/>
      <c r="C27" s="113">
        <v>5</v>
      </c>
      <c r="D27" s="362" t="s">
        <v>269</v>
      </c>
      <c r="E27" s="363"/>
      <c r="F27" s="364"/>
      <c r="G27" s="114"/>
      <c r="H27" s="115"/>
      <c r="I27" s="116"/>
      <c r="J27" s="117"/>
      <c r="K27" s="117"/>
      <c r="L27" s="117"/>
      <c r="M27" s="115"/>
      <c r="N27" s="115"/>
      <c r="O27" s="118"/>
      <c r="P27" s="118"/>
      <c r="Q27" s="118"/>
      <c r="R27" s="118"/>
      <c r="S27" s="118"/>
      <c r="T27" s="118"/>
      <c r="U27" s="119"/>
      <c r="V27" s="83"/>
      <c r="W27" s="120" t="s">
        <v>257</v>
      </c>
      <c r="X27" s="121" t="s">
        <v>257</v>
      </c>
      <c r="Y27" s="122" t="s">
        <v>257</v>
      </c>
      <c r="Z27" s="84"/>
      <c r="AA27" s="84"/>
      <c r="AB27" s="84"/>
      <c r="AC27" s="84"/>
      <c r="AD27" s="85"/>
    </row>
    <row r="28" spans="1:30" ht="16.5" customHeight="1" thickTop="1" thickBot="1" x14ac:dyDescent="0.35">
      <c r="A28" s="365" t="s">
        <v>40</v>
      </c>
      <c r="B28" s="367" t="s">
        <v>59</v>
      </c>
      <c r="C28" s="369" t="s">
        <v>14</v>
      </c>
      <c r="D28" s="370"/>
      <c r="E28" s="370"/>
      <c r="F28" s="370"/>
      <c r="G28" s="370"/>
      <c r="H28" s="370"/>
      <c r="I28" s="370"/>
      <c r="J28" s="370"/>
      <c r="K28" s="370"/>
      <c r="L28" s="371"/>
      <c r="M28" s="381" t="s">
        <v>18</v>
      </c>
      <c r="N28" s="382"/>
      <c r="O28" s="382"/>
      <c r="P28" s="383"/>
      <c r="Q28" s="369" t="s">
        <v>21</v>
      </c>
      <c r="R28" s="370"/>
      <c r="S28" s="370"/>
      <c r="T28" s="370"/>
      <c r="U28" s="384"/>
      <c r="V28" s="83"/>
      <c r="W28" s="344" t="s">
        <v>79</v>
      </c>
      <c r="X28" s="345"/>
      <c r="Y28" s="346"/>
      <c r="Z28" s="84"/>
      <c r="AA28" s="347" t="s">
        <v>77</v>
      </c>
      <c r="AB28" s="348"/>
      <c r="AC28" s="349"/>
      <c r="AD28" s="85"/>
    </row>
    <row r="29" spans="1:30" ht="15.75" customHeight="1" x14ac:dyDescent="0.3">
      <c r="A29" s="366"/>
      <c r="B29" s="368"/>
      <c r="C29" s="86" t="s">
        <v>0</v>
      </c>
      <c r="D29" s="350" t="s">
        <v>256</v>
      </c>
      <c r="E29" s="351"/>
      <c r="F29" s="352"/>
      <c r="G29" s="87" t="s">
        <v>15</v>
      </c>
      <c r="H29" s="88" t="s">
        <v>4</v>
      </c>
      <c r="I29" s="88" t="s">
        <v>7</v>
      </c>
      <c r="J29" s="89" t="s">
        <v>5</v>
      </c>
      <c r="K29" s="88" t="s">
        <v>6</v>
      </c>
      <c r="L29" s="88" t="s">
        <v>23</v>
      </c>
      <c r="M29" s="90" t="s">
        <v>27</v>
      </c>
      <c r="N29" s="90" t="s">
        <v>24</v>
      </c>
      <c r="O29" s="90" t="s">
        <v>26</v>
      </c>
      <c r="P29" s="90" t="s">
        <v>28</v>
      </c>
      <c r="Q29" s="91" t="s">
        <v>19</v>
      </c>
      <c r="R29" s="92" t="s">
        <v>25</v>
      </c>
      <c r="S29" s="92" t="s">
        <v>30</v>
      </c>
      <c r="T29" s="92" t="s">
        <v>20</v>
      </c>
      <c r="U29" s="93" t="s">
        <v>29</v>
      </c>
      <c r="V29" s="83"/>
      <c r="W29" s="94" t="s">
        <v>18</v>
      </c>
      <c r="X29" s="95" t="s">
        <v>21</v>
      </c>
      <c r="Y29" s="96" t="s">
        <v>12</v>
      </c>
      <c r="Z29" s="84"/>
      <c r="AA29" s="97" t="s">
        <v>100</v>
      </c>
      <c r="AB29" s="98" t="s">
        <v>101</v>
      </c>
      <c r="AC29" s="99" t="s">
        <v>102</v>
      </c>
      <c r="AD29" s="85"/>
    </row>
    <row r="30" spans="1:30" ht="15.75" customHeight="1" thickBot="1" x14ac:dyDescent="0.35">
      <c r="A30" s="353" t="s">
        <v>261</v>
      </c>
      <c r="B30" s="356" t="s">
        <v>210</v>
      </c>
      <c r="C30" s="100">
        <v>1</v>
      </c>
      <c r="D30" s="387" t="s">
        <v>270</v>
      </c>
      <c r="E30" s="388"/>
      <c r="F30" s="389"/>
      <c r="G30" s="101" t="s">
        <v>243</v>
      </c>
      <c r="H30" s="102" t="s">
        <v>258</v>
      </c>
      <c r="I30" s="103">
        <v>44439</v>
      </c>
      <c r="J30" s="104" t="s">
        <v>253</v>
      </c>
      <c r="K30" s="104" t="s">
        <v>75</v>
      </c>
      <c r="L30" s="104" t="s">
        <v>254</v>
      </c>
      <c r="M30" s="102" t="s">
        <v>123</v>
      </c>
      <c r="N30" s="102" t="s">
        <v>69</v>
      </c>
      <c r="O30" s="105" t="s">
        <v>71</v>
      </c>
      <c r="P30" s="105" t="s">
        <v>73</v>
      </c>
      <c r="Q30" s="105" t="s">
        <v>75</v>
      </c>
      <c r="R30" s="105" t="s">
        <v>75</v>
      </c>
      <c r="S30" s="105" t="s">
        <v>76</v>
      </c>
      <c r="T30" s="105" t="s">
        <v>75</v>
      </c>
      <c r="U30" s="106" t="s">
        <v>75</v>
      </c>
      <c r="V30" s="83"/>
      <c r="W30" s="107" t="s">
        <v>257</v>
      </c>
      <c r="X30" s="108" t="s">
        <v>257</v>
      </c>
      <c r="Y30" s="109" t="s">
        <v>257</v>
      </c>
      <c r="Z30" s="84"/>
      <c r="AA30" s="110" t="s">
        <v>257</v>
      </c>
      <c r="AB30" s="111" t="s">
        <v>257</v>
      </c>
      <c r="AC30" s="112" t="s">
        <v>257</v>
      </c>
      <c r="AD30" s="85"/>
    </row>
    <row r="31" spans="1:30" ht="16.5" customHeight="1" thickTop="1" x14ac:dyDescent="0.3">
      <c r="A31" s="354"/>
      <c r="B31" s="357"/>
      <c r="C31" s="100">
        <v>2</v>
      </c>
      <c r="D31" s="393"/>
      <c r="E31" s="394"/>
      <c r="F31" s="395"/>
      <c r="G31" s="101"/>
      <c r="H31" s="102"/>
      <c r="I31" s="103"/>
      <c r="J31" s="104"/>
      <c r="K31" s="104"/>
      <c r="L31" s="104"/>
      <c r="M31" s="102"/>
      <c r="N31" s="102"/>
      <c r="O31" s="105"/>
      <c r="P31" s="105"/>
      <c r="Q31" s="105"/>
      <c r="R31" s="105"/>
      <c r="S31" s="105"/>
      <c r="T31" s="105"/>
      <c r="U31" s="106"/>
      <c r="V31" s="83"/>
      <c r="W31" s="107" t="s">
        <v>257</v>
      </c>
      <c r="X31" s="108" t="s">
        <v>257</v>
      </c>
      <c r="Y31" s="109" t="s">
        <v>257</v>
      </c>
      <c r="Z31" s="84"/>
      <c r="AA31" s="84"/>
      <c r="AB31" s="84"/>
      <c r="AC31" s="84"/>
      <c r="AD31" s="85"/>
    </row>
    <row r="32" spans="1:30" ht="15.75" x14ac:dyDescent="0.3">
      <c r="A32" s="354"/>
      <c r="B32" s="357"/>
      <c r="C32" s="100">
        <v>3</v>
      </c>
      <c r="D32" s="359" t="s">
        <v>292</v>
      </c>
      <c r="E32" s="360"/>
      <c r="F32" s="361"/>
      <c r="G32" s="101"/>
      <c r="H32" s="102"/>
      <c r="I32" s="103"/>
      <c r="J32" s="104"/>
      <c r="K32" s="104"/>
      <c r="L32" s="104"/>
      <c r="M32" s="102"/>
      <c r="N32" s="102"/>
      <c r="O32" s="105"/>
      <c r="P32" s="105"/>
      <c r="Q32" s="105"/>
      <c r="R32" s="105"/>
      <c r="S32" s="105"/>
      <c r="T32" s="105"/>
      <c r="U32" s="106"/>
      <c r="V32" s="83"/>
      <c r="W32" s="107" t="s">
        <v>257</v>
      </c>
      <c r="X32" s="108" t="s">
        <v>257</v>
      </c>
      <c r="Y32" s="109" t="s">
        <v>257</v>
      </c>
      <c r="Z32" s="84"/>
      <c r="AA32" s="84"/>
      <c r="AB32" s="84"/>
      <c r="AC32" s="84"/>
      <c r="AD32" s="85"/>
    </row>
    <row r="33" spans="1:30" ht="15.75" x14ac:dyDescent="0.3">
      <c r="A33" s="354"/>
      <c r="B33" s="357"/>
      <c r="C33" s="100">
        <v>4</v>
      </c>
      <c r="D33" s="359"/>
      <c r="E33" s="360"/>
      <c r="F33" s="361"/>
      <c r="G33" s="101"/>
      <c r="H33" s="102"/>
      <c r="I33" s="103"/>
      <c r="J33" s="104"/>
      <c r="K33" s="104"/>
      <c r="L33" s="104"/>
      <c r="M33" s="102"/>
      <c r="N33" s="102"/>
      <c r="O33" s="105"/>
      <c r="P33" s="105"/>
      <c r="Q33" s="105"/>
      <c r="R33" s="105"/>
      <c r="S33" s="105"/>
      <c r="T33" s="105"/>
      <c r="U33" s="106"/>
      <c r="V33" s="83"/>
      <c r="W33" s="107" t="s">
        <v>257</v>
      </c>
      <c r="X33" s="108" t="s">
        <v>257</v>
      </c>
      <c r="Y33" s="109" t="s">
        <v>257</v>
      </c>
      <c r="Z33" s="84"/>
      <c r="AA33" s="84"/>
      <c r="AB33" s="84"/>
      <c r="AC33" s="84"/>
      <c r="AD33" s="85"/>
    </row>
    <row r="34" spans="1:30" ht="15.75" customHeight="1" thickBot="1" x14ac:dyDescent="0.35">
      <c r="A34" s="355"/>
      <c r="B34" s="358"/>
      <c r="C34" s="113">
        <v>5</v>
      </c>
      <c r="D34" s="362"/>
      <c r="E34" s="363"/>
      <c r="F34" s="364"/>
      <c r="G34" s="114"/>
      <c r="H34" s="115"/>
      <c r="I34" s="116"/>
      <c r="J34" s="117"/>
      <c r="K34" s="117"/>
      <c r="L34" s="117"/>
      <c r="M34" s="115"/>
      <c r="N34" s="115"/>
      <c r="O34" s="118"/>
      <c r="P34" s="118"/>
      <c r="Q34" s="118"/>
      <c r="R34" s="118"/>
      <c r="S34" s="118"/>
      <c r="T34" s="118"/>
      <c r="U34" s="119"/>
      <c r="V34" s="83"/>
      <c r="W34" s="120" t="s">
        <v>257</v>
      </c>
      <c r="X34" s="121" t="s">
        <v>257</v>
      </c>
      <c r="Y34" s="122" t="s">
        <v>257</v>
      </c>
      <c r="Z34" s="84"/>
      <c r="AA34" s="84"/>
      <c r="AB34" s="84"/>
      <c r="AC34" s="84"/>
      <c r="AD34" s="85"/>
    </row>
    <row r="35" spans="1:30" ht="15.75" customHeight="1" thickTop="1" thickBot="1" x14ac:dyDescent="0.35">
      <c r="A35" s="365" t="s">
        <v>40</v>
      </c>
      <c r="B35" s="367" t="s">
        <v>59</v>
      </c>
      <c r="C35" s="369" t="s">
        <v>14</v>
      </c>
      <c r="D35" s="370"/>
      <c r="E35" s="370"/>
      <c r="F35" s="370"/>
      <c r="G35" s="370"/>
      <c r="H35" s="370"/>
      <c r="I35" s="370"/>
      <c r="J35" s="370"/>
      <c r="K35" s="370"/>
      <c r="L35" s="371"/>
      <c r="M35" s="381" t="s">
        <v>18</v>
      </c>
      <c r="N35" s="382"/>
      <c r="O35" s="382"/>
      <c r="P35" s="383"/>
      <c r="Q35" s="369" t="s">
        <v>21</v>
      </c>
      <c r="R35" s="370"/>
      <c r="S35" s="370"/>
      <c r="T35" s="370"/>
      <c r="U35" s="384"/>
      <c r="V35" s="83"/>
      <c r="W35" s="344" t="s">
        <v>79</v>
      </c>
      <c r="X35" s="345"/>
      <c r="Y35" s="346"/>
      <c r="Z35" s="84"/>
      <c r="AA35" s="347" t="s">
        <v>77</v>
      </c>
      <c r="AB35" s="348"/>
      <c r="AC35" s="349"/>
      <c r="AD35" s="85"/>
    </row>
    <row r="36" spans="1:30" ht="15.75" customHeight="1" x14ac:dyDescent="0.3">
      <c r="A36" s="366"/>
      <c r="B36" s="368"/>
      <c r="C36" s="86" t="s">
        <v>0</v>
      </c>
      <c r="D36" s="350" t="s">
        <v>256</v>
      </c>
      <c r="E36" s="351"/>
      <c r="F36" s="352"/>
      <c r="G36" s="87" t="s">
        <v>15</v>
      </c>
      <c r="H36" s="88" t="s">
        <v>4</v>
      </c>
      <c r="I36" s="88" t="s">
        <v>7</v>
      </c>
      <c r="J36" s="89" t="s">
        <v>5</v>
      </c>
      <c r="K36" s="88" t="s">
        <v>6</v>
      </c>
      <c r="L36" s="88" t="s">
        <v>23</v>
      </c>
      <c r="M36" s="90" t="s">
        <v>27</v>
      </c>
      <c r="N36" s="90" t="s">
        <v>24</v>
      </c>
      <c r="O36" s="90" t="s">
        <v>26</v>
      </c>
      <c r="P36" s="90" t="s">
        <v>28</v>
      </c>
      <c r="Q36" s="91" t="s">
        <v>19</v>
      </c>
      <c r="R36" s="92" t="s">
        <v>25</v>
      </c>
      <c r="S36" s="92" t="s">
        <v>30</v>
      </c>
      <c r="T36" s="92" t="s">
        <v>20</v>
      </c>
      <c r="U36" s="93" t="s">
        <v>29</v>
      </c>
      <c r="V36" s="83"/>
      <c r="W36" s="94" t="s">
        <v>18</v>
      </c>
      <c r="X36" s="95" t="s">
        <v>21</v>
      </c>
      <c r="Y36" s="96" t="s">
        <v>12</v>
      </c>
      <c r="Z36" s="84"/>
      <c r="AA36" s="97" t="s">
        <v>100</v>
      </c>
      <c r="AB36" s="98" t="s">
        <v>101</v>
      </c>
      <c r="AC36" s="99" t="s">
        <v>102</v>
      </c>
      <c r="AD36" s="85"/>
    </row>
    <row r="37" spans="1:30" ht="15.75" customHeight="1" thickBot="1" x14ac:dyDescent="0.35">
      <c r="A37" s="353" t="s">
        <v>262</v>
      </c>
      <c r="B37" s="356" t="s">
        <v>211</v>
      </c>
      <c r="C37" s="100">
        <v>1</v>
      </c>
      <c r="D37" s="387" t="s">
        <v>294</v>
      </c>
      <c r="E37" s="388"/>
      <c r="F37" s="389"/>
      <c r="G37" s="101" t="s">
        <v>207</v>
      </c>
      <c r="H37" s="102" t="s">
        <v>252</v>
      </c>
      <c r="I37" s="103">
        <v>44439</v>
      </c>
      <c r="J37" s="104" t="s">
        <v>253</v>
      </c>
      <c r="K37" s="104" t="s">
        <v>75</v>
      </c>
      <c r="L37" s="104" t="s">
        <v>254</v>
      </c>
      <c r="M37" s="102" t="s">
        <v>123</v>
      </c>
      <c r="N37" s="102" t="s">
        <v>69</v>
      </c>
      <c r="O37" s="105" t="s">
        <v>71</v>
      </c>
      <c r="P37" s="105" t="s">
        <v>73</v>
      </c>
      <c r="Q37" s="105" t="s">
        <v>75</v>
      </c>
      <c r="R37" s="105" t="s">
        <v>75</v>
      </c>
      <c r="S37" s="105" t="s">
        <v>75</v>
      </c>
      <c r="T37" s="105" t="s">
        <v>75</v>
      </c>
      <c r="U37" s="106" t="s">
        <v>75</v>
      </c>
      <c r="V37" s="83"/>
      <c r="W37" s="107">
        <v>100.00000000000003</v>
      </c>
      <c r="X37" s="108">
        <v>0</v>
      </c>
      <c r="Y37" s="109">
        <v>100.00000000000003</v>
      </c>
      <c r="Z37" s="84"/>
      <c r="AA37" s="110">
        <v>100.00000000000003</v>
      </c>
      <c r="AB37" s="111" t="s">
        <v>257</v>
      </c>
      <c r="AC37" s="112">
        <v>100.00000000000003</v>
      </c>
      <c r="AD37" s="85"/>
    </row>
    <row r="38" spans="1:30" ht="15.75" customHeight="1" thickTop="1" x14ac:dyDescent="0.3">
      <c r="A38" s="354"/>
      <c r="B38" s="357"/>
      <c r="C38" s="100">
        <v>2</v>
      </c>
      <c r="D38" s="390"/>
      <c r="E38" s="391"/>
      <c r="F38" s="392"/>
      <c r="G38" s="101"/>
      <c r="H38" s="102"/>
      <c r="I38" s="103"/>
      <c r="J38" s="104"/>
      <c r="K38" s="104"/>
      <c r="L38" s="104"/>
      <c r="M38" s="102"/>
      <c r="N38" s="102"/>
      <c r="O38" s="105"/>
      <c r="P38" s="105"/>
      <c r="Q38" s="105"/>
      <c r="R38" s="105"/>
      <c r="S38" s="105"/>
      <c r="T38" s="105"/>
      <c r="U38" s="106"/>
      <c r="V38" s="83"/>
      <c r="W38" s="107" t="s">
        <v>257</v>
      </c>
      <c r="X38" s="108" t="s">
        <v>257</v>
      </c>
      <c r="Y38" s="109" t="s">
        <v>257</v>
      </c>
      <c r="Z38" s="84"/>
      <c r="AA38" s="84"/>
      <c r="AB38" s="84"/>
      <c r="AC38" s="84"/>
      <c r="AD38" s="85"/>
    </row>
    <row r="39" spans="1:30" ht="15.75" x14ac:dyDescent="0.3">
      <c r="A39" s="354"/>
      <c r="B39" s="357"/>
      <c r="C39" s="100">
        <v>3</v>
      </c>
      <c r="D39" s="390"/>
      <c r="E39" s="391"/>
      <c r="F39" s="392"/>
      <c r="G39" s="101"/>
      <c r="H39" s="102"/>
      <c r="I39" s="103"/>
      <c r="J39" s="104"/>
      <c r="K39" s="104"/>
      <c r="L39" s="104"/>
      <c r="M39" s="102"/>
      <c r="N39" s="102"/>
      <c r="O39" s="105"/>
      <c r="P39" s="105"/>
      <c r="Q39" s="105"/>
      <c r="R39" s="105"/>
      <c r="S39" s="105"/>
      <c r="T39" s="105"/>
      <c r="U39" s="106"/>
      <c r="V39" s="83"/>
      <c r="W39" s="107" t="s">
        <v>257</v>
      </c>
      <c r="X39" s="108" t="s">
        <v>257</v>
      </c>
      <c r="Y39" s="109" t="s">
        <v>257</v>
      </c>
      <c r="Z39" s="84"/>
      <c r="AA39" s="84"/>
      <c r="AB39" s="84"/>
      <c r="AC39" s="84"/>
      <c r="AD39" s="85"/>
    </row>
    <row r="40" spans="1:30" ht="15.75" x14ac:dyDescent="0.3">
      <c r="A40" s="354"/>
      <c r="B40" s="357"/>
      <c r="C40" s="100">
        <v>4</v>
      </c>
      <c r="D40" s="393"/>
      <c r="E40" s="394"/>
      <c r="F40" s="395"/>
      <c r="G40" s="101"/>
      <c r="H40" s="102"/>
      <c r="I40" s="103"/>
      <c r="J40" s="104"/>
      <c r="K40" s="104"/>
      <c r="L40" s="104"/>
      <c r="M40" s="102"/>
      <c r="N40" s="102"/>
      <c r="O40" s="105"/>
      <c r="P40" s="105"/>
      <c r="Q40" s="105"/>
      <c r="R40" s="105"/>
      <c r="S40" s="105"/>
      <c r="T40" s="105"/>
      <c r="U40" s="106"/>
      <c r="V40" s="83"/>
      <c r="W40" s="107" t="s">
        <v>257</v>
      </c>
      <c r="X40" s="108" t="s">
        <v>257</v>
      </c>
      <c r="Y40" s="109" t="s">
        <v>257</v>
      </c>
      <c r="Z40" s="84"/>
      <c r="AA40" s="84"/>
      <c r="AB40" s="84"/>
      <c r="AC40" s="84"/>
      <c r="AD40" s="85"/>
    </row>
    <row r="41" spans="1:30" ht="15.75" customHeight="1" thickBot="1" x14ac:dyDescent="0.35">
      <c r="A41" s="355"/>
      <c r="B41" s="358"/>
      <c r="C41" s="113">
        <v>5</v>
      </c>
      <c r="D41" s="362" t="s">
        <v>269</v>
      </c>
      <c r="E41" s="363"/>
      <c r="F41" s="364"/>
      <c r="G41" s="114"/>
      <c r="H41" s="115"/>
      <c r="I41" s="116"/>
      <c r="J41" s="117"/>
      <c r="K41" s="117"/>
      <c r="L41" s="117"/>
      <c r="M41" s="115"/>
      <c r="N41" s="115"/>
      <c r="O41" s="118"/>
      <c r="P41" s="118"/>
      <c r="Q41" s="118"/>
      <c r="R41" s="118"/>
      <c r="S41" s="118"/>
      <c r="T41" s="118"/>
      <c r="U41" s="119"/>
      <c r="V41" s="83"/>
      <c r="W41" s="120" t="s">
        <v>257</v>
      </c>
      <c r="X41" s="121" t="s">
        <v>257</v>
      </c>
      <c r="Y41" s="122" t="s">
        <v>257</v>
      </c>
      <c r="Z41" s="84"/>
      <c r="AA41" s="84"/>
      <c r="AB41" s="84"/>
      <c r="AC41" s="84"/>
      <c r="AD41" s="85"/>
    </row>
    <row r="42" spans="1:30" ht="15.75" customHeight="1" thickTop="1" thickBot="1" x14ac:dyDescent="0.35">
      <c r="A42" s="365" t="s">
        <v>40</v>
      </c>
      <c r="B42" s="367" t="s">
        <v>59</v>
      </c>
      <c r="C42" s="369" t="s">
        <v>14</v>
      </c>
      <c r="D42" s="370"/>
      <c r="E42" s="370"/>
      <c r="F42" s="370"/>
      <c r="G42" s="370"/>
      <c r="H42" s="370"/>
      <c r="I42" s="370"/>
      <c r="J42" s="370"/>
      <c r="K42" s="370"/>
      <c r="L42" s="371"/>
      <c r="M42" s="381" t="s">
        <v>18</v>
      </c>
      <c r="N42" s="382"/>
      <c r="O42" s="382"/>
      <c r="P42" s="383"/>
      <c r="Q42" s="369" t="s">
        <v>21</v>
      </c>
      <c r="R42" s="370"/>
      <c r="S42" s="370"/>
      <c r="T42" s="370"/>
      <c r="U42" s="384"/>
      <c r="V42" s="83"/>
      <c r="W42" s="344" t="s">
        <v>79</v>
      </c>
      <c r="X42" s="345"/>
      <c r="Y42" s="346"/>
      <c r="Z42" s="84"/>
      <c r="AA42" s="347" t="s">
        <v>77</v>
      </c>
      <c r="AB42" s="348"/>
      <c r="AC42" s="349"/>
      <c r="AD42" s="85"/>
    </row>
    <row r="43" spans="1:30" ht="15.75" customHeight="1" x14ac:dyDescent="0.3">
      <c r="A43" s="366"/>
      <c r="B43" s="368"/>
      <c r="C43" s="86" t="s">
        <v>0</v>
      </c>
      <c r="D43" s="350" t="s">
        <v>256</v>
      </c>
      <c r="E43" s="351"/>
      <c r="F43" s="352"/>
      <c r="G43" s="87" t="s">
        <v>15</v>
      </c>
      <c r="H43" s="88" t="s">
        <v>4</v>
      </c>
      <c r="I43" s="88" t="s">
        <v>7</v>
      </c>
      <c r="J43" s="89" t="s">
        <v>5</v>
      </c>
      <c r="K43" s="88" t="s">
        <v>6</v>
      </c>
      <c r="L43" s="88" t="s">
        <v>23</v>
      </c>
      <c r="M43" s="90" t="s">
        <v>27</v>
      </c>
      <c r="N43" s="90" t="s">
        <v>24</v>
      </c>
      <c r="O43" s="90" t="s">
        <v>26</v>
      </c>
      <c r="P43" s="90" t="s">
        <v>28</v>
      </c>
      <c r="Q43" s="91" t="s">
        <v>19</v>
      </c>
      <c r="R43" s="92" t="s">
        <v>25</v>
      </c>
      <c r="S43" s="92" t="s">
        <v>30</v>
      </c>
      <c r="T43" s="92" t="s">
        <v>20</v>
      </c>
      <c r="U43" s="93" t="s">
        <v>29</v>
      </c>
      <c r="V43" s="83"/>
      <c r="W43" s="94" t="s">
        <v>18</v>
      </c>
      <c r="X43" s="95" t="s">
        <v>21</v>
      </c>
      <c r="Y43" s="96" t="s">
        <v>12</v>
      </c>
      <c r="Z43" s="84"/>
      <c r="AA43" s="97" t="s">
        <v>100</v>
      </c>
      <c r="AB43" s="98" t="s">
        <v>101</v>
      </c>
      <c r="AC43" s="99" t="s">
        <v>102</v>
      </c>
      <c r="AD43" s="85"/>
    </row>
    <row r="44" spans="1:30" ht="45.75" thickBot="1" x14ac:dyDescent="0.35">
      <c r="A44" s="353" t="s">
        <v>264</v>
      </c>
      <c r="B44" s="356" t="s">
        <v>295</v>
      </c>
      <c r="C44" s="100">
        <v>1</v>
      </c>
      <c r="D44" s="359" t="s">
        <v>263</v>
      </c>
      <c r="E44" s="360"/>
      <c r="F44" s="361"/>
      <c r="G44" s="101" t="s">
        <v>206</v>
      </c>
      <c r="H44" s="102" t="s">
        <v>252</v>
      </c>
      <c r="I44" s="103">
        <v>44439</v>
      </c>
      <c r="J44" s="104" t="s">
        <v>253</v>
      </c>
      <c r="K44" s="104" t="s">
        <v>75</v>
      </c>
      <c r="L44" s="104" t="s">
        <v>254</v>
      </c>
      <c r="M44" s="102" t="s">
        <v>123</v>
      </c>
      <c r="N44" s="102" t="s">
        <v>69</v>
      </c>
      <c r="O44" s="105" t="s">
        <v>71</v>
      </c>
      <c r="P44" s="105" t="s">
        <v>73</v>
      </c>
      <c r="Q44" s="105" t="s">
        <v>75</v>
      </c>
      <c r="R44" s="105" t="s">
        <v>75</v>
      </c>
      <c r="S44" s="105" t="s">
        <v>76</v>
      </c>
      <c r="T44" s="105" t="s">
        <v>75</v>
      </c>
      <c r="U44" s="106" t="s">
        <v>75</v>
      </c>
      <c r="V44" s="83"/>
      <c r="W44" s="107">
        <v>100.00000000000003</v>
      </c>
      <c r="X44" s="108">
        <v>0.2</v>
      </c>
      <c r="Y44" s="109">
        <v>80.000000000000028</v>
      </c>
      <c r="Z44" s="84"/>
      <c r="AA44" s="110">
        <v>80.000000000000028</v>
      </c>
      <c r="AB44" s="111" t="s">
        <v>257</v>
      </c>
      <c r="AC44" s="112">
        <v>80.000000000000028</v>
      </c>
      <c r="AD44" s="85"/>
    </row>
    <row r="45" spans="1:30" ht="16.5" thickTop="1" x14ac:dyDescent="0.3">
      <c r="A45" s="354"/>
      <c r="B45" s="357"/>
      <c r="C45" s="100">
        <v>2</v>
      </c>
      <c r="D45" s="359"/>
      <c r="E45" s="360"/>
      <c r="F45" s="361"/>
      <c r="G45" s="101"/>
      <c r="H45" s="102"/>
      <c r="I45" s="103"/>
      <c r="J45" s="104"/>
      <c r="K45" s="104"/>
      <c r="L45" s="104"/>
      <c r="M45" s="102"/>
      <c r="N45" s="102"/>
      <c r="O45" s="105"/>
      <c r="P45" s="105"/>
      <c r="Q45" s="105"/>
      <c r="R45" s="105"/>
      <c r="S45" s="105"/>
      <c r="T45" s="105"/>
      <c r="U45" s="106"/>
      <c r="V45" s="83"/>
      <c r="W45" s="107" t="s">
        <v>257</v>
      </c>
      <c r="X45" s="108" t="s">
        <v>257</v>
      </c>
      <c r="Y45" s="109" t="s">
        <v>257</v>
      </c>
      <c r="Z45" s="84"/>
      <c r="AA45" s="84"/>
      <c r="AB45" s="84"/>
      <c r="AC45" s="84"/>
      <c r="AD45" s="85"/>
    </row>
    <row r="46" spans="1:30" ht="15.75" x14ac:dyDescent="0.3">
      <c r="A46" s="354"/>
      <c r="B46" s="357"/>
      <c r="C46" s="100">
        <v>3</v>
      </c>
      <c r="D46" s="359"/>
      <c r="E46" s="360"/>
      <c r="F46" s="361"/>
      <c r="G46" s="101"/>
      <c r="H46" s="102"/>
      <c r="I46" s="103"/>
      <c r="J46" s="104"/>
      <c r="K46" s="104"/>
      <c r="L46" s="104"/>
      <c r="M46" s="102"/>
      <c r="N46" s="102"/>
      <c r="O46" s="105"/>
      <c r="P46" s="105"/>
      <c r="Q46" s="105"/>
      <c r="R46" s="105"/>
      <c r="S46" s="105"/>
      <c r="T46" s="105"/>
      <c r="U46" s="106"/>
      <c r="V46" s="83"/>
      <c r="W46" s="107" t="s">
        <v>257</v>
      </c>
      <c r="X46" s="108" t="s">
        <v>257</v>
      </c>
      <c r="Y46" s="109" t="s">
        <v>257</v>
      </c>
      <c r="Z46" s="84"/>
      <c r="AA46" s="84"/>
      <c r="AB46" s="84"/>
      <c r="AC46" s="84"/>
      <c r="AD46" s="85"/>
    </row>
    <row r="47" spans="1:30" ht="15.75" customHeight="1" x14ac:dyDescent="0.3">
      <c r="A47" s="354"/>
      <c r="B47" s="357"/>
      <c r="C47" s="100">
        <v>4</v>
      </c>
      <c r="D47" s="359"/>
      <c r="E47" s="360"/>
      <c r="F47" s="361"/>
      <c r="G47" s="101"/>
      <c r="H47" s="102"/>
      <c r="I47" s="103"/>
      <c r="J47" s="104"/>
      <c r="K47" s="104"/>
      <c r="L47" s="104"/>
      <c r="M47" s="102"/>
      <c r="N47" s="102"/>
      <c r="O47" s="105"/>
      <c r="P47" s="105"/>
      <c r="Q47" s="105"/>
      <c r="R47" s="105"/>
      <c r="S47" s="105"/>
      <c r="T47" s="105"/>
      <c r="U47" s="106"/>
      <c r="V47" s="83"/>
      <c r="W47" s="107" t="s">
        <v>257</v>
      </c>
      <c r="X47" s="108" t="s">
        <v>257</v>
      </c>
      <c r="Y47" s="109" t="s">
        <v>257</v>
      </c>
      <c r="Z47" s="84"/>
      <c r="AA47" s="84"/>
      <c r="AB47" s="84"/>
      <c r="AC47" s="84"/>
      <c r="AD47" s="85"/>
    </row>
    <row r="48" spans="1:30" ht="16.5" thickBot="1" x14ac:dyDescent="0.35">
      <c r="A48" s="355"/>
      <c r="B48" s="358"/>
      <c r="C48" s="113">
        <v>5</v>
      </c>
      <c r="D48" s="362"/>
      <c r="E48" s="363"/>
      <c r="F48" s="364"/>
      <c r="G48" s="114"/>
      <c r="H48" s="115"/>
      <c r="I48" s="116"/>
      <c r="J48" s="117"/>
      <c r="K48" s="117"/>
      <c r="L48" s="117"/>
      <c r="M48" s="115"/>
      <c r="N48" s="115"/>
      <c r="O48" s="118"/>
      <c r="P48" s="118"/>
      <c r="Q48" s="118"/>
      <c r="R48" s="118"/>
      <c r="S48" s="118"/>
      <c r="T48" s="118"/>
      <c r="U48" s="119"/>
      <c r="V48" s="83"/>
      <c r="W48" s="120" t="s">
        <v>257</v>
      </c>
      <c r="X48" s="121" t="s">
        <v>257</v>
      </c>
      <c r="Y48" s="122" t="s">
        <v>257</v>
      </c>
      <c r="Z48" s="84"/>
      <c r="AA48" s="84"/>
      <c r="AB48" s="84"/>
      <c r="AC48" s="84"/>
      <c r="AD48" s="85"/>
    </row>
    <row r="49" spans="1:30" ht="17.25" thickTop="1" thickBot="1" x14ac:dyDescent="0.35">
      <c r="A49" s="365" t="s">
        <v>40</v>
      </c>
      <c r="B49" s="367" t="s">
        <v>59</v>
      </c>
      <c r="C49" s="369" t="s">
        <v>14</v>
      </c>
      <c r="D49" s="370"/>
      <c r="E49" s="370"/>
      <c r="F49" s="370"/>
      <c r="G49" s="370"/>
      <c r="H49" s="370"/>
      <c r="I49" s="370"/>
      <c r="J49" s="370"/>
      <c r="K49" s="370"/>
      <c r="L49" s="371"/>
      <c r="M49" s="381" t="s">
        <v>18</v>
      </c>
      <c r="N49" s="382"/>
      <c r="O49" s="382"/>
      <c r="P49" s="383"/>
      <c r="Q49" s="369" t="s">
        <v>21</v>
      </c>
      <c r="R49" s="370"/>
      <c r="S49" s="370"/>
      <c r="T49" s="370"/>
      <c r="U49" s="384"/>
      <c r="V49" s="83"/>
      <c r="W49" s="344" t="s">
        <v>79</v>
      </c>
      <c r="X49" s="345"/>
      <c r="Y49" s="346"/>
      <c r="Z49" s="84"/>
      <c r="AA49" s="347" t="s">
        <v>77</v>
      </c>
      <c r="AB49" s="348"/>
      <c r="AC49" s="349"/>
      <c r="AD49" s="85"/>
    </row>
    <row r="50" spans="1:30" ht="102" x14ac:dyDescent="0.3">
      <c r="A50" s="366"/>
      <c r="B50" s="368"/>
      <c r="C50" s="86" t="s">
        <v>0</v>
      </c>
      <c r="D50" s="350" t="s">
        <v>256</v>
      </c>
      <c r="E50" s="351"/>
      <c r="F50" s="352"/>
      <c r="G50" s="87" t="s">
        <v>15</v>
      </c>
      <c r="H50" s="88" t="s">
        <v>4</v>
      </c>
      <c r="I50" s="88" t="s">
        <v>7</v>
      </c>
      <c r="J50" s="89" t="s">
        <v>5</v>
      </c>
      <c r="K50" s="88" t="s">
        <v>6</v>
      </c>
      <c r="L50" s="88" t="s">
        <v>23</v>
      </c>
      <c r="M50" s="90" t="s">
        <v>27</v>
      </c>
      <c r="N50" s="90" t="s">
        <v>24</v>
      </c>
      <c r="O50" s="90" t="s">
        <v>26</v>
      </c>
      <c r="P50" s="90" t="s">
        <v>28</v>
      </c>
      <c r="Q50" s="91" t="s">
        <v>19</v>
      </c>
      <c r="R50" s="92" t="s">
        <v>25</v>
      </c>
      <c r="S50" s="92" t="s">
        <v>30</v>
      </c>
      <c r="T50" s="92" t="s">
        <v>20</v>
      </c>
      <c r="U50" s="93" t="s">
        <v>29</v>
      </c>
      <c r="V50" s="83"/>
      <c r="W50" s="94" t="s">
        <v>18</v>
      </c>
      <c r="X50" s="95" t="s">
        <v>21</v>
      </c>
      <c r="Y50" s="96" t="s">
        <v>12</v>
      </c>
      <c r="Z50" s="84"/>
      <c r="AA50" s="97" t="s">
        <v>100</v>
      </c>
      <c r="AB50" s="98" t="s">
        <v>101</v>
      </c>
      <c r="AC50" s="99" t="s">
        <v>102</v>
      </c>
      <c r="AD50" s="85"/>
    </row>
    <row r="51" spans="1:30" ht="45.75" thickBot="1" x14ac:dyDescent="0.35">
      <c r="A51" s="353" t="s">
        <v>266</v>
      </c>
      <c r="B51" s="356" t="s">
        <v>212</v>
      </c>
      <c r="C51" s="100">
        <v>1</v>
      </c>
      <c r="D51" s="359" t="s">
        <v>265</v>
      </c>
      <c r="E51" s="360"/>
      <c r="F51" s="361"/>
      <c r="G51" s="101" t="s">
        <v>247</v>
      </c>
      <c r="H51" s="102" t="s">
        <v>252</v>
      </c>
      <c r="I51" s="103"/>
      <c r="J51" s="104" t="s">
        <v>253</v>
      </c>
      <c r="K51" s="104" t="s">
        <v>75</v>
      </c>
      <c r="L51" s="104" t="s">
        <v>254</v>
      </c>
      <c r="M51" s="102" t="s">
        <v>123</v>
      </c>
      <c r="N51" s="102" t="s">
        <v>69</v>
      </c>
      <c r="O51" s="105" t="s">
        <v>71</v>
      </c>
      <c r="P51" s="105" t="s">
        <v>73</v>
      </c>
      <c r="Q51" s="105" t="s">
        <v>75</v>
      </c>
      <c r="R51" s="105" t="s">
        <v>75</v>
      </c>
      <c r="S51" s="105" t="s">
        <v>76</v>
      </c>
      <c r="T51" s="105" t="s">
        <v>75</v>
      </c>
      <c r="U51" s="106" t="s">
        <v>75</v>
      </c>
      <c r="V51" s="83"/>
      <c r="W51" s="107">
        <v>100.00000000000003</v>
      </c>
      <c r="X51" s="108">
        <v>0.2</v>
      </c>
      <c r="Y51" s="109">
        <v>80.000000000000028</v>
      </c>
      <c r="Z51" s="84"/>
      <c r="AA51" s="110">
        <v>80.000000000000028</v>
      </c>
      <c r="AB51" s="111" t="s">
        <v>257</v>
      </c>
      <c r="AC51" s="112">
        <v>80.000000000000028</v>
      </c>
      <c r="AD51" s="85"/>
    </row>
    <row r="52" spans="1:30" ht="15.75" customHeight="1" thickTop="1" x14ac:dyDescent="0.3">
      <c r="A52" s="354"/>
      <c r="B52" s="357"/>
      <c r="C52" s="100">
        <v>2</v>
      </c>
      <c r="D52" s="359"/>
      <c r="E52" s="360"/>
      <c r="F52" s="361"/>
      <c r="G52" s="101"/>
      <c r="H52" s="102"/>
      <c r="I52" s="103"/>
      <c r="J52" s="104"/>
      <c r="K52" s="104"/>
      <c r="L52" s="104"/>
      <c r="M52" s="102"/>
      <c r="N52" s="102"/>
      <c r="O52" s="105"/>
      <c r="P52" s="105"/>
      <c r="Q52" s="105"/>
      <c r="R52" s="105"/>
      <c r="S52" s="105"/>
      <c r="T52" s="105"/>
      <c r="U52" s="106"/>
      <c r="V52" s="83"/>
      <c r="W52" s="107" t="s">
        <v>257</v>
      </c>
      <c r="X52" s="108" t="s">
        <v>257</v>
      </c>
      <c r="Y52" s="109" t="s">
        <v>257</v>
      </c>
      <c r="Z52" s="84"/>
      <c r="AA52" s="84"/>
      <c r="AB52" s="84"/>
      <c r="AC52" s="84"/>
      <c r="AD52" s="85"/>
    </row>
    <row r="53" spans="1:30" ht="15.75" x14ac:dyDescent="0.3">
      <c r="A53" s="354"/>
      <c r="B53" s="357"/>
      <c r="C53" s="100">
        <v>3</v>
      </c>
      <c r="D53" s="359"/>
      <c r="E53" s="360"/>
      <c r="F53" s="361"/>
      <c r="G53" s="101"/>
      <c r="H53" s="102"/>
      <c r="I53" s="103"/>
      <c r="J53" s="104"/>
      <c r="K53" s="104"/>
      <c r="L53" s="104"/>
      <c r="M53" s="102"/>
      <c r="N53" s="102"/>
      <c r="O53" s="105"/>
      <c r="P53" s="105"/>
      <c r="Q53" s="105"/>
      <c r="R53" s="105"/>
      <c r="S53" s="105"/>
      <c r="T53" s="105"/>
      <c r="U53" s="106"/>
      <c r="V53" s="83"/>
      <c r="W53" s="107" t="s">
        <v>257</v>
      </c>
      <c r="X53" s="108" t="s">
        <v>257</v>
      </c>
      <c r="Y53" s="109" t="s">
        <v>257</v>
      </c>
      <c r="Z53" s="84"/>
      <c r="AA53" s="84"/>
      <c r="AB53" s="84"/>
      <c r="AC53" s="84"/>
      <c r="AD53" s="85"/>
    </row>
    <row r="54" spans="1:30" ht="15.75" x14ac:dyDescent="0.3">
      <c r="A54" s="354"/>
      <c r="B54" s="357"/>
      <c r="C54" s="100">
        <v>4</v>
      </c>
      <c r="D54" s="359"/>
      <c r="E54" s="360"/>
      <c r="F54" s="361"/>
      <c r="G54" s="101"/>
      <c r="H54" s="102"/>
      <c r="I54" s="103"/>
      <c r="J54" s="104"/>
      <c r="K54" s="104"/>
      <c r="L54" s="104"/>
      <c r="M54" s="102"/>
      <c r="N54" s="102"/>
      <c r="O54" s="105"/>
      <c r="P54" s="105"/>
      <c r="Q54" s="105"/>
      <c r="R54" s="105"/>
      <c r="S54" s="105"/>
      <c r="T54" s="105"/>
      <c r="U54" s="106"/>
      <c r="V54" s="83"/>
      <c r="W54" s="107" t="s">
        <v>257</v>
      </c>
      <c r="X54" s="108" t="s">
        <v>257</v>
      </c>
      <c r="Y54" s="109" t="s">
        <v>257</v>
      </c>
      <c r="Z54" s="84"/>
      <c r="AA54" s="84"/>
      <c r="AB54" s="84"/>
      <c r="AC54" s="84"/>
      <c r="AD54" s="85"/>
    </row>
    <row r="55" spans="1:30" ht="16.5" thickBot="1" x14ac:dyDescent="0.35">
      <c r="A55" s="355"/>
      <c r="B55" s="358"/>
      <c r="C55" s="113">
        <v>5</v>
      </c>
      <c r="D55" s="362"/>
      <c r="E55" s="363"/>
      <c r="F55" s="364"/>
      <c r="G55" s="114"/>
      <c r="H55" s="115"/>
      <c r="I55" s="116"/>
      <c r="J55" s="117"/>
      <c r="K55" s="117"/>
      <c r="L55" s="117"/>
      <c r="M55" s="115"/>
      <c r="N55" s="115"/>
      <c r="O55" s="118"/>
      <c r="P55" s="118"/>
      <c r="Q55" s="118"/>
      <c r="R55" s="118"/>
      <c r="S55" s="118"/>
      <c r="T55" s="118"/>
      <c r="U55" s="119"/>
      <c r="V55" s="83"/>
      <c r="W55" s="120" t="s">
        <v>257</v>
      </c>
      <c r="X55" s="121" t="s">
        <v>257</v>
      </c>
      <c r="Y55" s="122" t="s">
        <v>257</v>
      </c>
      <c r="Z55" s="84"/>
      <c r="AA55" s="84"/>
      <c r="AB55" s="84"/>
      <c r="AC55" s="84"/>
      <c r="AD55" s="85"/>
    </row>
    <row r="56" spans="1:30" ht="17.25" thickTop="1" thickBot="1" x14ac:dyDescent="0.35">
      <c r="A56" s="365" t="s">
        <v>40</v>
      </c>
      <c r="B56" s="367" t="s">
        <v>59</v>
      </c>
      <c r="C56" s="369" t="s">
        <v>14</v>
      </c>
      <c r="D56" s="370"/>
      <c r="E56" s="370"/>
      <c r="F56" s="370"/>
      <c r="G56" s="370"/>
      <c r="H56" s="370"/>
      <c r="I56" s="370"/>
      <c r="J56" s="370"/>
      <c r="K56" s="370"/>
      <c r="L56" s="371"/>
      <c r="M56" s="381" t="s">
        <v>18</v>
      </c>
      <c r="N56" s="382"/>
      <c r="O56" s="382"/>
      <c r="P56" s="383"/>
      <c r="Q56" s="369" t="s">
        <v>21</v>
      </c>
      <c r="R56" s="370"/>
      <c r="S56" s="370"/>
      <c r="T56" s="370"/>
      <c r="U56" s="384"/>
      <c r="V56" s="83"/>
      <c r="W56" s="344" t="s">
        <v>79</v>
      </c>
      <c r="X56" s="345"/>
      <c r="Y56" s="346"/>
      <c r="Z56" s="84"/>
      <c r="AA56" s="347" t="s">
        <v>77</v>
      </c>
      <c r="AB56" s="348"/>
      <c r="AC56" s="349"/>
      <c r="AD56" s="85"/>
    </row>
    <row r="57" spans="1:30" ht="15.75" customHeight="1" x14ac:dyDescent="0.3">
      <c r="A57" s="366"/>
      <c r="B57" s="368"/>
      <c r="C57" s="86" t="s">
        <v>0</v>
      </c>
      <c r="D57" s="350" t="s">
        <v>256</v>
      </c>
      <c r="E57" s="351"/>
      <c r="F57" s="352"/>
      <c r="G57" s="87" t="s">
        <v>15</v>
      </c>
      <c r="H57" s="88" t="s">
        <v>4</v>
      </c>
      <c r="I57" s="88" t="s">
        <v>7</v>
      </c>
      <c r="J57" s="89" t="s">
        <v>5</v>
      </c>
      <c r="K57" s="88" t="s">
        <v>6</v>
      </c>
      <c r="L57" s="88" t="s">
        <v>23</v>
      </c>
      <c r="M57" s="90" t="s">
        <v>27</v>
      </c>
      <c r="N57" s="90" t="s">
        <v>24</v>
      </c>
      <c r="O57" s="90" t="s">
        <v>26</v>
      </c>
      <c r="P57" s="90" t="s">
        <v>28</v>
      </c>
      <c r="Q57" s="91" t="s">
        <v>19</v>
      </c>
      <c r="R57" s="92" t="s">
        <v>25</v>
      </c>
      <c r="S57" s="92" t="s">
        <v>30</v>
      </c>
      <c r="T57" s="92" t="s">
        <v>20</v>
      </c>
      <c r="U57" s="93" t="s">
        <v>29</v>
      </c>
      <c r="V57" s="83"/>
      <c r="W57" s="94" t="s">
        <v>18</v>
      </c>
      <c r="X57" s="95" t="s">
        <v>21</v>
      </c>
      <c r="Y57" s="96" t="s">
        <v>12</v>
      </c>
      <c r="Z57" s="84"/>
      <c r="AA57" s="97" t="s">
        <v>100</v>
      </c>
      <c r="AB57" s="98" t="s">
        <v>101</v>
      </c>
      <c r="AC57" s="99" t="s">
        <v>102</v>
      </c>
      <c r="AD57" s="85"/>
    </row>
    <row r="58" spans="1:30" ht="45.75" thickBot="1" x14ac:dyDescent="0.35">
      <c r="A58" s="353" t="s">
        <v>268</v>
      </c>
      <c r="B58" s="356" t="s">
        <v>215</v>
      </c>
      <c r="C58" s="100">
        <v>1</v>
      </c>
      <c r="D58" s="359" t="s">
        <v>267</v>
      </c>
      <c r="E58" s="360"/>
      <c r="F58" s="361"/>
      <c r="G58" s="101" t="s">
        <v>206</v>
      </c>
      <c r="H58" s="102" t="s">
        <v>252</v>
      </c>
      <c r="I58" s="103"/>
      <c r="J58" s="104" t="s">
        <v>253</v>
      </c>
      <c r="K58" s="104" t="s">
        <v>75</v>
      </c>
      <c r="L58" s="104" t="s">
        <v>254</v>
      </c>
      <c r="M58" s="102" t="s">
        <v>123</v>
      </c>
      <c r="N58" s="102" t="s">
        <v>69</v>
      </c>
      <c r="O58" s="105" t="s">
        <v>71</v>
      </c>
      <c r="P58" s="105" t="s">
        <v>73</v>
      </c>
      <c r="Q58" s="105" t="s">
        <v>75</v>
      </c>
      <c r="R58" s="105" t="s">
        <v>75</v>
      </c>
      <c r="S58" s="105" t="s">
        <v>76</v>
      </c>
      <c r="T58" s="105" t="s">
        <v>75</v>
      </c>
      <c r="U58" s="106" t="s">
        <v>75</v>
      </c>
      <c r="V58" s="83"/>
      <c r="W58" s="107">
        <v>100.00000000000003</v>
      </c>
      <c r="X58" s="108">
        <v>0.2</v>
      </c>
      <c r="Y58" s="109">
        <v>80.000000000000028</v>
      </c>
      <c r="Z58" s="84"/>
      <c r="AA58" s="110">
        <v>80.000000000000028</v>
      </c>
      <c r="AB58" s="111" t="s">
        <v>257</v>
      </c>
      <c r="AC58" s="112">
        <v>80.000000000000028</v>
      </c>
      <c r="AD58" s="85"/>
    </row>
    <row r="59" spans="1:30" ht="16.5" thickTop="1" x14ac:dyDescent="0.3">
      <c r="A59" s="354"/>
      <c r="B59" s="357"/>
      <c r="C59" s="100">
        <v>2</v>
      </c>
      <c r="D59" s="359"/>
      <c r="E59" s="360"/>
      <c r="F59" s="361"/>
      <c r="G59" s="101"/>
      <c r="H59" s="102"/>
      <c r="I59" s="103"/>
      <c r="J59" s="104"/>
      <c r="K59" s="104"/>
      <c r="L59" s="104"/>
      <c r="M59" s="102"/>
      <c r="N59" s="102"/>
      <c r="O59" s="105"/>
      <c r="P59" s="105"/>
      <c r="Q59" s="105"/>
      <c r="R59" s="105"/>
      <c r="S59" s="105"/>
      <c r="T59" s="105"/>
      <c r="U59" s="106"/>
      <c r="V59" s="83"/>
      <c r="W59" s="107" t="s">
        <v>257</v>
      </c>
      <c r="X59" s="108" t="s">
        <v>257</v>
      </c>
      <c r="Y59" s="109" t="s">
        <v>257</v>
      </c>
      <c r="Z59" s="84"/>
      <c r="AA59" s="84"/>
      <c r="AB59" s="84"/>
      <c r="AC59" s="84"/>
      <c r="AD59" s="85"/>
    </row>
    <row r="60" spans="1:30" ht="15.75" x14ac:dyDescent="0.3">
      <c r="A60" s="354"/>
      <c r="B60" s="357"/>
      <c r="C60" s="100">
        <v>3</v>
      </c>
      <c r="D60" s="359"/>
      <c r="E60" s="360"/>
      <c r="F60" s="361"/>
      <c r="G60" s="101"/>
      <c r="H60" s="102"/>
      <c r="I60" s="103"/>
      <c r="J60" s="104"/>
      <c r="K60" s="104"/>
      <c r="L60" s="104"/>
      <c r="M60" s="102"/>
      <c r="N60" s="102"/>
      <c r="O60" s="105"/>
      <c r="P60" s="105"/>
      <c r="Q60" s="105"/>
      <c r="R60" s="105"/>
      <c r="S60" s="105"/>
      <c r="T60" s="105"/>
      <c r="U60" s="106"/>
      <c r="V60" s="83"/>
      <c r="W60" s="107" t="s">
        <v>257</v>
      </c>
      <c r="X60" s="108" t="s">
        <v>257</v>
      </c>
      <c r="Y60" s="109" t="s">
        <v>257</v>
      </c>
      <c r="Z60" s="84"/>
      <c r="AA60" s="84"/>
      <c r="AB60" s="84"/>
      <c r="AC60" s="84"/>
      <c r="AD60" s="85"/>
    </row>
    <row r="61" spans="1:30" ht="15.75" x14ac:dyDescent="0.3">
      <c r="A61" s="354"/>
      <c r="B61" s="357"/>
      <c r="C61" s="100">
        <v>4</v>
      </c>
      <c r="D61" s="359"/>
      <c r="E61" s="360"/>
      <c r="F61" s="361"/>
      <c r="G61" s="101"/>
      <c r="H61" s="102"/>
      <c r="I61" s="103"/>
      <c r="J61" s="104"/>
      <c r="K61" s="104"/>
      <c r="L61" s="104"/>
      <c r="M61" s="102"/>
      <c r="N61" s="102"/>
      <c r="O61" s="105"/>
      <c r="P61" s="105"/>
      <c r="Q61" s="105"/>
      <c r="R61" s="105"/>
      <c r="S61" s="105"/>
      <c r="T61" s="105"/>
      <c r="U61" s="106"/>
      <c r="V61" s="83"/>
      <c r="W61" s="107" t="s">
        <v>257</v>
      </c>
      <c r="X61" s="108" t="s">
        <v>257</v>
      </c>
      <c r="Y61" s="109" t="s">
        <v>257</v>
      </c>
      <c r="Z61" s="84"/>
      <c r="AA61" s="84"/>
      <c r="AB61" s="84"/>
      <c r="AC61" s="84"/>
      <c r="AD61" s="85"/>
    </row>
    <row r="62" spans="1:30" ht="16.5" thickBot="1" x14ac:dyDescent="0.35">
      <c r="A62" s="355"/>
      <c r="B62" s="358"/>
      <c r="C62" s="113">
        <v>5</v>
      </c>
      <c r="D62" s="362"/>
      <c r="E62" s="363"/>
      <c r="F62" s="364"/>
      <c r="G62" s="114"/>
      <c r="H62" s="115"/>
      <c r="I62" s="116"/>
      <c r="J62" s="117"/>
      <c r="K62" s="117"/>
      <c r="L62" s="117"/>
      <c r="M62" s="115"/>
      <c r="N62" s="115"/>
      <c r="O62" s="118"/>
      <c r="P62" s="118"/>
      <c r="Q62" s="118"/>
      <c r="R62" s="118"/>
      <c r="S62" s="118"/>
      <c r="T62" s="118"/>
      <c r="U62" s="119"/>
      <c r="V62" s="83"/>
      <c r="W62" s="120" t="s">
        <v>257</v>
      </c>
      <c r="X62" s="121" t="s">
        <v>257</v>
      </c>
      <c r="Y62" s="122" t="s">
        <v>257</v>
      </c>
      <c r="Z62" s="84"/>
      <c r="AA62" s="84"/>
      <c r="AB62" s="84"/>
      <c r="AC62" s="84"/>
      <c r="AD62" s="85"/>
    </row>
    <row r="63" spans="1:30" ht="15.75" thickTop="1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</row>
    <row r="64" spans="1:30" ht="15.75" customHeight="1" x14ac:dyDescent="0.25"/>
    <row r="104" ht="15.75" customHeight="1" x14ac:dyDescent="0.25"/>
    <row r="111" ht="28.5" customHeight="1" x14ac:dyDescent="0.25"/>
    <row r="112" ht="28.5" customHeight="1" x14ac:dyDescent="0.25"/>
    <row r="113" ht="28.5" customHeight="1" x14ac:dyDescent="0.25"/>
  </sheetData>
  <mergeCells count="109">
    <mergeCell ref="W49:Y49"/>
    <mergeCell ref="AA49:AC49"/>
    <mergeCell ref="D50:F50"/>
    <mergeCell ref="A51:A55"/>
    <mergeCell ref="B51:B55"/>
    <mergeCell ref="D51:F51"/>
    <mergeCell ref="D52:F52"/>
    <mergeCell ref="D53:F53"/>
    <mergeCell ref="D54:F54"/>
    <mergeCell ref="D55:F55"/>
    <mergeCell ref="A49:A50"/>
    <mergeCell ref="B49:B50"/>
    <mergeCell ref="C49:L49"/>
    <mergeCell ref="M49:P49"/>
    <mergeCell ref="Q49:U49"/>
    <mergeCell ref="W42:Y42"/>
    <mergeCell ref="AA42:AC42"/>
    <mergeCell ref="D43:F43"/>
    <mergeCell ref="A44:A48"/>
    <mergeCell ref="B44:B48"/>
    <mergeCell ref="D44:F44"/>
    <mergeCell ref="D45:F45"/>
    <mergeCell ref="D46:F46"/>
    <mergeCell ref="D47:F47"/>
    <mergeCell ref="D48:F48"/>
    <mergeCell ref="A42:A43"/>
    <mergeCell ref="B42:B43"/>
    <mergeCell ref="C42:L42"/>
    <mergeCell ref="M42:P42"/>
    <mergeCell ref="Q42:U42"/>
    <mergeCell ref="W35:Y35"/>
    <mergeCell ref="AA35:AC35"/>
    <mergeCell ref="D36:F36"/>
    <mergeCell ref="A37:A41"/>
    <mergeCell ref="B37:B41"/>
    <mergeCell ref="D41:F41"/>
    <mergeCell ref="A35:A36"/>
    <mergeCell ref="B35:B36"/>
    <mergeCell ref="C35:L35"/>
    <mergeCell ref="M35:P35"/>
    <mergeCell ref="Q35:U35"/>
    <mergeCell ref="D37:F40"/>
    <mergeCell ref="W28:Y28"/>
    <mergeCell ref="AA28:AC28"/>
    <mergeCell ref="D29:F29"/>
    <mergeCell ref="A30:A34"/>
    <mergeCell ref="B30:B34"/>
    <mergeCell ref="D32:F32"/>
    <mergeCell ref="D33:F33"/>
    <mergeCell ref="D34:F34"/>
    <mergeCell ref="A28:A29"/>
    <mergeCell ref="B28:B29"/>
    <mergeCell ref="C28:L28"/>
    <mergeCell ref="M28:P28"/>
    <mergeCell ref="Q28:U28"/>
    <mergeCell ref="D30:F31"/>
    <mergeCell ref="W21:Y21"/>
    <mergeCell ref="AA21:AC21"/>
    <mergeCell ref="D22:F22"/>
    <mergeCell ref="A23:A27"/>
    <mergeCell ref="B23:B27"/>
    <mergeCell ref="D26:F26"/>
    <mergeCell ref="D27:F27"/>
    <mergeCell ref="A21:A22"/>
    <mergeCell ref="B21:B22"/>
    <mergeCell ref="C21:L21"/>
    <mergeCell ref="M21:P21"/>
    <mergeCell ref="Q21:U21"/>
    <mergeCell ref="D23:F25"/>
    <mergeCell ref="W14:Y14"/>
    <mergeCell ref="AA14:AC14"/>
    <mergeCell ref="D15:F15"/>
    <mergeCell ref="A16:A20"/>
    <mergeCell ref="B16:B20"/>
    <mergeCell ref="D20:F20"/>
    <mergeCell ref="A14:A15"/>
    <mergeCell ref="B14:B15"/>
    <mergeCell ref="C14:L14"/>
    <mergeCell ref="M14:P14"/>
    <mergeCell ref="Q14:U14"/>
    <mergeCell ref="D16:F19"/>
    <mergeCell ref="B1:G1"/>
    <mergeCell ref="A7:A8"/>
    <mergeCell ref="B7:B8"/>
    <mergeCell ref="C7:L7"/>
    <mergeCell ref="M7:P7"/>
    <mergeCell ref="Q7:U7"/>
    <mergeCell ref="W7:Y7"/>
    <mergeCell ref="AA7:AC7"/>
    <mergeCell ref="D8:F8"/>
    <mergeCell ref="A9:A13"/>
    <mergeCell ref="B9:B13"/>
    <mergeCell ref="D13:F13"/>
    <mergeCell ref="A56:A57"/>
    <mergeCell ref="B56:B57"/>
    <mergeCell ref="C56:L56"/>
    <mergeCell ref="D9:F12"/>
    <mergeCell ref="M56:P56"/>
    <mergeCell ref="Q56:U56"/>
    <mergeCell ref="W56:Y56"/>
    <mergeCell ref="AA56:AC56"/>
    <mergeCell ref="D57:F57"/>
    <mergeCell ref="A58:A62"/>
    <mergeCell ref="B58:B62"/>
    <mergeCell ref="D58:F58"/>
    <mergeCell ref="D59:F59"/>
    <mergeCell ref="D60:F60"/>
    <mergeCell ref="D61:F61"/>
    <mergeCell ref="D62:F62"/>
  </mergeCells>
  <printOptions horizontalCentered="1"/>
  <pageMargins left="0.59055118110236227" right="0.59055118110236227" top="0.78740157480314965" bottom="0.39370078740157483" header="0.31496062992125984" footer="0.11811023622047245"/>
  <pageSetup scale="17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theme="2" tint="-0.749992370372631"/>
  </sheetPr>
  <dimension ref="B1:G60"/>
  <sheetViews>
    <sheetView showGridLines="0" showRowColHeaders="0" zoomScale="80" zoomScaleNormal="80" workbookViewId="0">
      <selection activeCell="B2" sqref="B2:G2"/>
    </sheetView>
  </sheetViews>
  <sheetFormatPr defaultColWidth="11.42578125" defaultRowHeight="12.75" x14ac:dyDescent="0.2"/>
  <cols>
    <col min="1" max="1" width="11.42578125" style="6"/>
    <col min="2" max="2" width="5.5703125" style="6" customWidth="1"/>
    <col min="3" max="3" width="20.140625" style="6" customWidth="1"/>
    <col min="4" max="4" width="3.42578125" style="6" bestFit="1" customWidth="1"/>
    <col min="5" max="7" width="30.5703125" style="6" customWidth="1"/>
    <col min="8" max="16384" width="11.42578125" style="6"/>
  </cols>
  <sheetData>
    <row r="1" spans="2:7" ht="3.95" customHeight="1" x14ac:dyDescent="0.2"/>
    <row r="2" spans="2:7" ht="45" customHeight="1" x14ac:dyDescent="0.2">
      <c r="B2" s="396" t="s">
        <v>143</v>
      </c>
      <c r="C2" s="396"/>
      <c r="D2" s="396"/>
      <c r="E2" s="396"/>
      <c r="F2" s="396"/>
      <c r="G2" s="396"/>
    </row>
    <row r="3" spans="2:7" ht="3.95" customHeight="1" x14ac:dyDescent="0.2">
      <c r="B3" s="7"/>
      <c r="C3" s="7"/>
      <c r="D3" s="7"/>
      <c r="E3" s="7"/>
      <c r="F3" s="7"/>
      <c r="G3" s="7"/>
    </row>
    <row r="4" spans="2:7" ht="120" customHeight="1" x14ac:dyDescent="0.2">
      <c r="B4" s="397" t="s">
        <v>1</v>
      </c>
      <c r="C4" s="10" t="s">
        <v>11</v>
      </c>
      <c r="D4" s="10">
        <v>3</v>
      </c>
      <c r="E4" s="11" t="str">
        <f ca="1">'RI LAFT'!U55</f>
        <v/>
      </c>
      <c r="F4" s="12" t="str">
        <f ca="1">'RI LAFT'!V55</f>
        <v/>
      </c>
      <c r="G4" s="12" t="str">
        <f ca="1">'RI LAFT'!W55</f>
        <v/>
      </c>
    </row>
    <row r="5" spans="2:7" ht="120" customHeight="1" x14ac:dyDescent="0.2">
      <c r="B5" s="398"/>
      <c r="C5" s="10" t="s">
        <v>145</v>
      </c>
      <c r="D5" s="10">
        <v>2</v>
      </c>
      <c r="E5" s="13" t="str">
        <f ca="1">'RI LAFT'!P55</f>
        <v/>
      </c>
      <c r="F5" s="11" t="str">
        <f ca="1">'RI LAFT'!Q55</f>
        <v/>
      </c>
      <c r="G5" s="12" t="str">
        <f ca="1">'RI LAFT'!R55</f>
        <v>5-RS;</v>
      </c>
    </row>
    <row r="6" spans="2:7" ht="120" customHeight="1" x14ac:dyDescent="0.2">
      <c r="B6" s="399"/>
      <c r="C6" s="10" t="s">
        <v>10</v>
      </c>
      <c r="D6" s="10">
        <v>1</v>
      </c>
      <c r="E6" s="13" t="str">
        <f ca="1">'RI LAFT'!K55</f>
        <v/>
      </c>
      <c r="F6" s="13" t="str">
        <f ca="1">'RI LAFT'!L55</f>
        <v/>
      </c>
      <c r="G6" s="11" t="s">
        <v>281</v>
      </c>
    </row>
    <row r="7" spans="2:7" ht="18" customHeight="1" x14ac:dyDescent="0.2">
      <c r="E7" s="10">
        <v>1</v>
      </c>
      <c r="F7" s="10">
        <v>2</v>
      </c>
      <c r="G7" s="10">
        <v>3</v>
      </c>
    </row>
    <row r="8" spans="2:7" ht="18" customHeight="1" x14ac:dyDescent="0.2">
      <c r="E8" s="10" t="s">
        <v>10</v>
      </c>
      <c r="F8" s="10" t="s">
        <v>145</v>
      </c>
      <c r="G8" s="10" t="s">
        <v>11</v>
      </c>
    </row>
    <row r="9" spans="2:7" ht="24.95" customHeight="1" x14ac:dyDescent="0.25">
      <c r="E9" s="400" t="s">
        <v>9</v>
      </c>
      <c r="F9" s="401"/>
      <c r="G9" s="402"/>
    </row>
    <row r="11" spans="2:7" ht="12.75" customHeight="1" x14ac:dyDescent="0.2">
      <c r="E11" s="8" t="str">
        <f ca="1">IF('RR LAFT'!B5&gt;0,'RR LAFT'!B5,"")</f>
        <v>1-CU</v>
      </c>
      <c r="F11" s="9" t="str">
        <f ca="1">IF('RR LAFT'!C5&gt;0,'RR LAFT'!C5,"")</f>
        <v>Que una contraparte reciba sobornos de otras empresas/personas</v>
      </c>
    </row>
    <row r="12" spans="2:7" ht="15" x14ac:dyDescent="0.2">
      <c r="E12" s="8" t="str">
        <f ca="1">IF('RR LAFT'!B6&gt;0,'RR LAFT'!B6,"")</f>
        <v>2-CU</v>
      </c>
      <c r="F12" s="9" t="str">
        <f ca="1">IF('RR LAFT'!C6&gt;0,'RR LAFT'!C6,"")</f>
        <v>Que algún proveedor reciba sobornos de cualquier forma</v>
      </c>
    </row>
    <row r="13" spans="2:7" ht="15" x14ac:dyDescent="0.2">
      <c r="E13" s="8" t="str">
        <f ca="1">IF('RR LAFT'!B7&gt;0,'RR LAFT'!B7,"")</f>
        <v>3-CU</v>
      </c>
      <c r="F13" s="9" t="str">
        <f>IF('RR LAFT'!C7&gt;0,'RR LAFT'!C7,"")</f>
        <v>Que algún miembro de Junta Directiva reciba dinero o regalos para obtener beneficios con la CCSM</v>
      </c>
    </row>
    <row r="14" spans="2:7" ht="15" x14ac:dyDescent="0.2">
      <c r="E14" s="8" t="str">
        <f ca="1">IF('RR LAFT'!B8&gt;0,'RR LAFT'!B8,"")</f>
        <v>4-DN</v>
      </c>
      <c r="F14" s="9" t="str">
        <f ca="1">IF('RR LAFT'!C8&gt;0,'RR LAFT'!C8,"")</f>
        <v>Que algún cliente reciba sobornos de cualquier forma</v>
      </c>
    </row>
    <row r="15" spans="2:7" ht="15" x14ac:dyDescent="0.2">
      <c r="E15" s="8" t="str">
        <f ca="1">IF('RR LAFT'!B9&gt;0,'RR LAFT'!B9,"")</f>
        <v>5-RS</v>
      </c>
      <c r="F15" s="9" t="str">
        <f ca="1">IF('RR LAFT'!C9&gt;0,'RR LAFT'!C9,"")</f>
        <v>Que algún empleado reciba sobornos de cualquier forma</v>
      </c>
    </row>
    <row r="16" spans="2:7" ht="15" x14ac:dyDescent="0.2">
      <c r="E16" s="8" t="str">
        <f ca="1">IF('RR LAFT'!B10&gt;0,'RR LAFT'!B10,"")</f>
        <v>6-DN</v>
      </c>
      <c r="F16" s="9" t="str">
        <f>IF('RR LAFT'!C10&gt;0,'RR LAFT'!C10,"")</f>
        <v>Que la CCSM ofrezca regalos en cualquier especie a un potencial cliente para que realice negocios con la CCSM</v>
      </c>
    </row>
    <row r="17" spans="5:6" ht="15" x14ac:dyDescent="0.2">
      <c r="E17" s="8" t="str">
        <f ca="1">IF('RR LAFT'!B11&gt;0,'RR LAFT'!B11,"")</f>
        <v>7-CU</v>
      </c>
      <c r="F17" s="9" t="str">
        <f ca="1">IF('RR LAFT'!C11&gt;0,'RR LAFT'!C11,"")</f>
        <v>Desconocer que las caracteristicas propias del servicio prestado a un cliente o proveedor favorezcan actividades de Soborno</v>
      </c>
    </row>
    <row r="18" spans="5:6" ht="15" x14ac:dyDescent="0.2">
      <c r="E18" s="8" t="str">
        <f ca="1">IF('RR LAFT'!B12&gt;0,'RR LAFT'!B12,"")</f>
        <v>8-CC</v>
      </c>
      <c r="F18" s="9" t="str">
        <f ca="1">IF('RR LAFT'!C12&gt;0,'RR LAFT'!C12,"")</f>
        <v>Que se realice inadvertidamente pagos a un proveedor vinculado con actividades de Soborno</v>
      </c>
    </row>
    <row r="19" spans="5:6" ht="15" x14ac:dyDescent="0.2">
      <c r="E19" s="8" t="str">
        <f ca="1">IF('RR LAFT'!B13&gt;0,'RR LAFT'!B13,"")</f>
        <v/>
      </c>
      <c r="F19" s="9" t="str">
        <f ca="1">IF('RR LAFT'!C13&gt;0,'RR LAFT'!C13,"")</f>
        <v/>
      </c>
    </row>
    <row r="20" spans="5:6" ht="15" x14ac:dyDescent="0.2">
      <c r="E20" s="8" t="str">
        <f ca="1">IF('RR LAFT'!B14&gt;0,'RR LAFT'!B14,"")</f>
        <v/>
      </c>
      <c r="F20" s="9" t="str">
        <f ca="1">IF('RR LAFT'!C14&gt;0,'RR LAFT'!C14,"")</f>
        <v/>
      </c>
    </row>
    <row r="21" spans="5:6" ht="15" x14ac:dyDescent="0.2">
      <c r="E21" s="8" t="str">
        <f ca="1">IF('RR LAFT'!B15&gt;0,'RR LAFT'!B15,"")</f>
        <v/>
      </c>
      <c r="F21" s="9" t="str">
        <f ca="1">IF('RR LAFT'!C15&gt;0,'RR LAFT'!C15,"")</f>
        <v/>
      </c>
    </row>
    <row r="22" spans="5:6" ht="15" x14ac:dyDescent="0.2">
      <c r="E22" s="8" t="str">
        <f ca="1">IF('RR LAFT'!B16&gt;0,'RR LAFT'!B16,"")</f>
        <v/>
      </c>
      <c r="F22" s="9" t="str">
        <f ca="1">IF('RR LAFT'!C16&gt;0,'RR LAFT'!C16,"")</f>
        <v/>
      </c>
    </row>
    <row r="23" spans="5:6" ht="15" x14ac:dyDescent="0.2">
      <c r="E23" s="8" t="str">
        <f ca="1">IF('RR LAFT'!B17&gt;0,'RR LAFT'!B17,"")</f>
        <v/>
      </c>
      <c r="F23" s="9" t="str">
        <f ca="1">IF('RR LAFT'!C17&gt;0,'RR LAFT'!C17,"")</f>
        <v/>
      </c>
    </row>
    <row r="24" spans="5:6" ht="15" x14ac:dyDescent="0.2">
      <c r="E24" s="8" t="str">
        <f ca="1">IF('RR LAFT'!B18&gt;0,'RR LAFT'!B18,"")</f>
        <v/>
      </c>
      <c r="F24" s="9" t="str">
        <f ca="1">IF('RR LAFT'!C18&gt;0,'RR LAFT'!C18,"")</f>
        <v/>
      </c>
    </row>
    <row r="25" spans="5:6" ht="15" x14ac:dyDescent="0.2">
      <c r="E25" s="8" t="str">
        <f ca="1">IF('RR LAFT'!B19&gt;0,'RR LAFT'!B19,"")</f>
        <v/>
      </c>
      <c r="F25" s="9" t="str">
        <f ca="1">IF('RR LAFT'!C19&gt;0,'RR LAFT'!C19,"")</f>
        <v/>
      </c>
    </row>
    <row r="26" spans="5:6" ht="15" x14ac:dyDescent="0.2">
      <c r="E26" s="8" t="str">
        <f ca="1">IF('RR LAFT'!B20&gt;0,'RR LAFT'!B20,"")</f>
        <v/>
      </c>
      <c r="F26" s="9" t="str">
        <f ca="1">IF('RR LAFT'!C20&gt;0,'RR LAFT'!C20,"")</f>
        <v/>
      </c>
    </row>
    <row r="27" spans="5:6" ht="15" x14ac:dyDescent="0.2">
      <c r="E27" s="8" t="str">
        <f ca="1">IF('RR LAFT'!B21&gt;0,'RR LAFT'!B21,"")</f>
        <v/>
      </c>
      <c r="F27" s="9" t="str">
        <f ca="1">IF('RR LAFT'!C21&gt;0,'RR LAFT'!C21,"")</f>
        <v/>
      </c>
    </row>
    <row r="28" spans="5:6" ht="15" x14ac:dyDescent="0.2">
      <c r="E28" s="8" t="str">
        <f ca="1">IF('RR LAFT'!B22&gt;0,'RR LAFT'!B22,"")</f>
        <v/>
      </c>
      <c r="F28" s="9" t="str">
        <f ca="1">IF('RR LAFT'!C22&gt;0,'RR LAFT'!C22,"")</f>
        <v/>
      </c>
    </row>
    <row r="29" spans="5:6" ht="15" x14ac:dyDescent="0.2">
      <c r="E29" s="8" t="str">
        <f ca="1">IF('RR LAFT'!B23&gt;0,'RR LAFT'!B23,"")</f>
        <v/>
      </c>
      <c r="F29" s="9" t="str">
        <f ca="1">IF('RR LAFT'!C23&gt;0,'RR LAFT'!C23,"")</f>
        <v/>
      </c>
    </row>
    <row r="30" spans="5:6" ht="15" x14ac:dyDescent="0.2">
      <c r="E30" s="8" t="str">
        <f ca="1">IF('RR LAFT'!B24&gt;0,'RR LAFT'!B24,"")</f>
        <v/>
      </c>
      <c r="F30" s="9" t="str">
        <f ca="1">IF('RR LAFT'!C24&gt;0,'RR LAFT'!C24,"")</f>
        <v/>
      </c>
    </row>
    <row r="31" spans="5:6" ht="15" x14ac:dyDescent="0.2">
      <c r="E31" s="8" t="str">
        <f ca="1">IF('RR LAFT'!B25&gt;0,'RR LAFT'!B25,"")</f>
        <v/>
      </c>
      <c r="F31" s="9" t="str">
        <f ca="1">IF('RR LAFT'!C25&gt;0,'RR LAFT'!C25,"")</f>
        <v/>
      </c>
    </row>
    <row r="32" spans="5:6" ht="15" x14ac:dyDescent="0.2">
      <c r="E32" s="8" t="str">
        <f ca="1">IF('RR LAFT'!B26&gt;0,'RR LAFT'!B26,"")</f>
        <v/>
      </c>
      <c r="F32" s="9" t="str">
        <f ca="1">IF('RR LAFT'!C26&gt;0,'RR LAFT'!C26,"")</f>
        <v/>
      </c>
    </row>
    <row r="33" spans="5:6" ht="15" x14ac:dyDescent="0.2">
      <c r="E33" s="8" t="str">
        <f ca="1">IF('RR LAFT'!B27&gt;0,'RR LAFT'!B27,"")</f>
        <v/>
      </c>
      <c r="F33" s="9" t="str">
        <f ca="1">IF('RR LAFT'!C27&gt;0,'RR LAFT'!C27,"")</f>
        <v/>
      </c>
    </row>
    <row r="34" spans="5:6" ht="15" x14ac:dyDescent="0.2">
      <c r="E34" s="8" t="str">
        <f ca="1">IF('RR LAFT'!B28&gt;0,'RR LAFT'!B28,"")</f>
        <v/>
      </c>
      <c r="F34" s="9" t="str">
        <f ca="1">IF('RR LAFT'!C28&gt;0,'RR LAFT'!C28,"")</f>
        <v/>
      </c>
    </row>
    <row r="35" spans="5:6" ht="15" x14ac:dyDescent="0.2">
      <c r="E35" s="8" t="str">
        <f ca="1">IF('RR LAFT'!B29&gt;0,'RR LAFT'!B29,"")</f>
        <v/>
      </c>
      <c r="F35" s="9" t="str">
        <f ca="1">IF('RR LAFT'!C29&gt;0,'RR LAFT'!C29,"")</f>
        <v/>
      </c>
    </row>
    <row r="36" spans="5:6" ht="15" x14ac:dyDescent="0.2">
      <c r="E36" s="8" t="str">
        <f ca="1">IF('RR LAFT'!B30&gt;0,'RR LAFT'!B30,"")</f>
        <v/>
      </c>
      <c r="F36" s="9" t="str">
        <f ca="1">IF('RR LAFT'!C30&gt;0,'RR LAFT'!C30,"")</f>
        <v/>
      </c>
    </row>
    <row r="37" spans="5:6" ht="15" x14ac:dyDescent="0.2">
      <c r="E37" s="8" t="str">
        <f ca="1">IF('RR LAFT'!B31&gt;0,'RR LAFT'!B31,"")</f>
        <v/>
      </c>
      <c r="F37" s="9" t="str">
        <f ca="1">IF('RR LAFT'!C31&gt;0,'RR LAFT'!C31,"")</f>
        <v/>
      </c>
    </row>
    <row r="38" spans="5:6" ht="15" x14ac:dyDescent="0.2">
      <c r="E38" s="8" t="str">
        <f ca="1">IF('RR LAFT'!B32&gt;0,'RR LAFT'!B32,"")</f>
        <v/>
      </c>
      <c r="F38" s="9" t="str">
        <f ca="1">IF('RR LAFT'!C32&gt;0,'RR LAFT'!C32,"")</f>
        <v/>
      </c>
    </row>
    <row r="39" spans="5:6" ht="15" x14ac:dyDescent="0.2">
      <c r="E39" s="8" t="str">
        <f ca="1">IF('RR LAFT'!B33&gt;0,'RR LAFT'!B33,"")</f>
        <v/>
      </c>
      <c r="F39" s="9" t="str">
        <f ca="1">IF('RR LAFT'!C33&gt;0,'RR LAFT'!C33,"")</f>
        <v/>
      </c>
    </row>
    <row r="40" spans="5:6" ht="15" x14ac:dyDescent="0.2">
      <c r="E40" s="8" t="str">
        <f ca="1">IF('RR LAFT'!B34&gt;0,'RR LAFT'!B34,"")</f>
        <v/>
      </c>
      <c r="F40" s="9" t="str">
        <f ca="1">IF('RR LAFT'!C34&gt;0,'RR LAFT'!C34,"")</f>
        <v/>
      </c>
    </row>
    <row r="41" spans="5:6" ht="15" x14ac:dyDescent="0.2">
      <c r="E41" s="8" t="str">
        <f ca="1">IF('RR LAFT'!B35&gt;0,'RR LAFT'!B35,"")</f>
        <v/>
      </c>
      <c r="F41" s="9" t="str">
        <f ca="1">IF('RR LAFT'!C35&gt;0,'RR LAFT'!C35,"")</f>
        <v/>
      </c>
    </row>
    <row r="42" spans="5:6" ht="15" x14ac:dyDescent="0.2">
      <c r="E42" s="8" t="str">
        <f ca="1">IF('RR LAFT'!B36&gt;0,'RR LAFT'!B36,"")</f>
        <v/>
      </c>
      <c r="F42" s="9" t="str">
        <f ca="1">IF('RR LAFT'!C36&gt;0,'RR LAFT'!C36,"")</f>
        <v/>
      </c>
    </row>
    <row r="43" spans="5:6" ht="15" x14ac:dyDescent="0.2">
      <c r="E43" s="8" t="str">
        <f ca="1">IF('RR LAFT'!B37&gt;0,'RR LAFT'!B37,"")</f>
        <v/>
      </c>
      <c r="F43" s="9" t="str">
        <f ca="1">IF('RR LAFT'!C37&gt;0,'RR LAFT'!C37,"")</f>
        <v/>
      </c>
    </row>
    <row r="44" spans="5:6" ht="15" x14ac:dyDescent="0.2">
      <c r="E44" s="8" t="str">
        <f ca="1">IF('RR LAFT'!B38&gt;0,'RR LAFT'!B38,"")</f>
        <v/>
      </c>
      <c r="F44" s="9" t="str">
        <f ca="1">IF('RR LAFT'!C38&gt;0,'RR LAFT'!C38,"")</f>
        <v/>
      </c>
    </row>
    <row r="45" spans="5:6" ht="15" x14ac:dyDescent="0.2">
      <c r="E45" s="8" t="str">
        <f ca="1">IF('RR LAFT'!B39&gt;0,'RR LAFT'!B39,"")</f>
        <v/>
      </c>
      <c r="F45" s="9" t="str">
        <f ca="1">IF('RR LAFT'!C39&gt;0,'RR LAFT'!C39,"")</f>
        <v/>
      </c>
    </row>
    <row r="46" spans="5:6" ht="15" x14ac:dyDescent="0.2">
      <c r="E46" s="8" t="str">
        <f ca="1">IF('RR LAFT'!B40&gt;0,'RR LAFT'!B40,"")</f>
        <v/>
      </c>
      <c r="F46" s="9" t="str">
        <f ca="1">IF('RR LAFT'!C40&gt;0,'RR LAFT'!C40,"")</f>
        <v/>
      </c>
    </row>
    <row r="47" spans="5:6" ht="15" x14ac:dyDescent="0.2">
      <c r="E47" s="8" t="str">
        <f ca="1">IF('RR LAFT'!B41&gt;0,'RR LAFT'!B41,"")</f>
        <v/>
      </c>
      <c r="F47" s="9" t="str">
        <f ca="1">IF('RR LAFT'!C41&gt;0,'RR LAFT'!C41,"")</f>
        <v/>
      </c>
    </row>
    <row r="48" spans="5:6" ht="15" x14ac:dyDescent="0.2">
      <c r="E48" s="8" t="str">
        <f ca="1">IF('RR LAFT'!B42&gt;0,'RR LAFT'!B42,"")</f>
        <v/>
      </c>
      <c r="F48" s="9" t="str">
        <f ca="1">IF('RR LAFT'!C42&gt;0,'RR LAFT'!C42,"")</f>
        <v/>
      </c>
    </row>
    <row r="49" spans="5:6" ht="15" x14ac:dyDescent="0.2">
      <c r="E49" s="8" t="str">
        <f ca="1">IF('RR LAFT'!B43&gt;0,'RR LAFT'!B43,"")</f>
        <v/>
      </c>
      <c r="F49" s="9" t="str">
        <f ca="1">IF('RR LAFT'!C43&gt;0,'RR LAFT'!C43,"")</f>
        <v/>
      </c>
    </row>
    <row r="50" spans="5:6" ht="15" x14ac:dyDescent="0.2">
      <c r="E50" s="8" t="str">
        <f ca="1">IF('RR LAFT'!B44&gt;0,'RR LAFT'!B44,"")</f>
        <v/>
      </c>
      <c r="F50" s="9" t="str">
        <f ca="1">IF('RR LAFT'!C44&gt;0,'RR LAFT'!C44,"")</f>
        <v/>
      </c>
    </row>
    <row r="51" spans="5:6" ht="15" x14ac:dyDescent="0.2">
      <c r="E51" s="8" t="str">
        <f ca="1">IF('RR LAFT'!B45&gt;0,'RR LAFT'!B45,"")</f>
        <v/>
      </c>
      <c r="F51" s="9" t="str">
        <f ca="1">IF('RR LAFT'!C45&gt;0,'RR LAFT'!C45,"")</f>
        <v/>
      </c>
    </row>
    <row r="52" spans="5:6" ht="15" x14ac:dyDescent="0.2">
      <c r="E52" s="8" t="str">
        <f ca="1">IF('RR LAFT'!B46&gt;0,'RR LAFT'!B46,"")</f>
        <v/>
      </c>
      <c r="F52" s="9" t="str">
        <f ca="1">IF('RR LAFT'!C46&gt;0,'RR LAFT'!C46,"")</f>
        <v/>
      </c>
    </row>
    <row r="53" spans="5:6" ht="15" x14ac:dyDescent="0.2">
      <c r="E53" s="8" t="str">
        <f ca="1">IF('RR LAFT'!B47&gt;0,'RR LAFT'!B47,"")</f>
        <v/>
      </c>
      <c r="F53" s="9" t="str">
        <f ca="1">IF('RR LAFT'!C47&gt;0,'RR LAFT'!C47,"")</f>
        <v/>
      </c>
    </row>
    <row r="54" spans="5:6" ht="15" x14ac:dyDescent="0.2">
      <c r="E54" s="8" t="str">
        <f ca="1">IF('RR LAFT'!B48&gt;0,'RR LAFT'!B48,"")</f>
        <v/>
      </c>
      <c r="F54" s="9" t="str">
        <f ca="1">IF('RR LAFT'!C48&gt;0,'RR LAFT'!C48,"")</f>
        <v/>
      </c>
    </row>
    <row r="55" spans="5:6" ht="15" x14ac:dyDescent="0.2">
      <c r="E55" s="8" t="str">
        <f ca="1">IF('RR LAFT'!B49&gt;0,'RR LAFT'!B49,"")</f>
        <v/>
      </c>
      <c r="F55" s="9" t="str">
        <f ca="1">IF('RR LAFT'!C49&gt;0,'RR LAFT'!C49,"")</f>
        <v/>
      </c>
    </row>
    <row r="56" spans="5:6" ht="15" x14ac:dyDescent="0.2">
      <c r="E56" s="8" t="str">
        <f ca="1">IF('RR LAFT'!B50&gt;0,'RR LAFT'!B50,"")</f>
        <v/>
      </c>
      <c r="F56" s="9" t="str">
        <f ca="1">IF('RR LAFT'!C50&gt;0,'RR LAFT'!C50,"")</f>
        <v/>
      </c>
    </row>
    <row r="57" spans="5:6" ht="15" x14ac:dyDescent="0.2">
      <c r="E57" s="8" t="str">
        <f ca="1">IF('RR LAFT'!B51&gt;0,'RR LAFT'!B51,"")</f>
        <v/>
      </c>
      <c r="F57" s="9" t="str">
        <f ca="1">IF('RR LAFT'!C51&gt;0,'RR LAFT'!C51,"")</f>
        <v/>
      </c>
    </row>
    <row r="58" spans="5:6" ht="15" x14ac:dyDescent="0.2">
      <c r="E58" s="8" t="str">
        <f ca="1">IF('RR LAFT'!B52&gt;0,'RR LAFT'!B52,"")</f>
        <v/>
      </c>
      <c r="F58" s="9" t="str">
        <f ca="1">IF('RR LAFT'!C52&gt;0,'RR LAFT'!C52,"")</f>
        <v/>
      </c>
    </row>
    <row r="59" spans="5:6" ht="15" x14ac:dyDescent="0.2">
      <c r="E59" s="8" t="str">
        <f ca="1">IF('RR LAFT'!B53&gt;0,'RR LAFT'!B53,"")</f>
        <v/>
      </c>
      <c r="F59" s="9" t="str">
        <f ca="1">IF('RR LAFT'!C53&gt;0,'RR LAFT'!C53,"")</f>
        <v/>
      </c>
    </row>
    <row r="60" spans="5:6" ht="15" x14ac:dyDescent="0.2">
      <c r="E60" s="8" t="str">
        <f ca="1">IF('RR LAFT'!B54&gt;0,'RR LAFT'!B54,"")</f>
        <v/>
      </c>
      <c r="F60" s="9" t="str">
        <f ca="1">IF('RR LAFT'!C54&gt;0,'RR LAFT'!C54,"")</f>
        <v/>
      </c>
    </row>
  </sheetData>
  <mergeCells count="3">
    <mergeCell ref="B2:G2"/>
    <mergeCell ref="B4:B6"/>
    <mergeCell ref="E9:G9"/>
  </mergeCells>
  <pageMargins left="0.75" right="0.75" top="1" bottom="1" header="0" footer="0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theme="9" tint="0.39997558519241921"/>
  </sheetPr>
  <dimension ref="B1:G60"/>
  <sheetViews>
    <sheetView showGridLines="0" showRowColHeaders="0" topLeftCell="B1" zoomScale="80" zoomScaleNormal="80" workbookViewId="0">
      <selection activeCell="F17" sqref="F17"/>
    </sheetView>
  </sheetViews>
  <sheetFormatPr defaultColWidth="11.42578125" defaultRowHeight="12.75" x14ac:dyDescent="0.2"/>
  <cols>
    <col min="1" max="1" width="11.42578125" style="6"/>
    <col min="2" max="2" width="5.5703125" style="6" customWidth="1"/>
    <col min="3" max="3" width="20.140625" style="6" customWidth="1"/>
    <col min="4" max="4" width="3.42578125" style="6" bestFit="1" customWidth="1"/>
    <col min="5" max="7" width="30.5703125" style="6" customWidth="1"/>
    <col min="8" max="16384" width="11.42578125" style="6"/>
  </cols>
  <sheetData>
    <row r="1" spans="2:7" ht="3.95" customHeight="1" x14ac:dyDescent="0.2"/>
    <row r="2" spans="2:7" ht="45" customHeight="1" x14ac:dyDescent="0.2">
      <c r="B2" s="396" t="s">
        <v>144</v>
      </c>
      <c r="C2" s="396"/>
      <c r="D2" s="396"/>
      <c r="E2" s="396"/>
      <c r="F2" s="396"/>
      <c r="G2" s="396"/>
    </row>
    <row r="3" spans="2:7" ht="3.95" customHeight="1" x14ac:dyDescent="0.2">
      <c r="B3" s="7"/>
      <c r="C3" s="7"/>
      <c r="D3" s="7"/>
      <c r="E3" s="7"/>
      <c r="F3" s="7"/>
      <c r="G3" s="7"/>
    </row>
    <row r="4" spans="2:7" ht="120" customHeight="1" x14ac:dyDescent="0.2">
      <c r="B4" s="397" t="s">
        <v>1</v>
      </c>
      <c r="C4" s="10" t="s">
        <v>11</v>
      </c>
      <c r="D4" s="10">
        <v>3</v>
      </c>
      <c r="E4" s="11" t="str">
        <f ca="1">'RR LAFT'!U55</f>
        <v/>
      </c>
      <c r="F4" s="12" t="str">
        <f ca="1">'RR LAFT'!V55</f>
        <v/>
      </c>
      <c r="G4" s="12" t="str">
        <f ca="1">'RR LAFT'!W55</f>
        <v/>
      </c>
    </row>
    <row r="5" spans="2:7" ht="120" customHeight="1" x14ac:dyDescent="0.2">
      <c r="B5" s="398"/>
      <c r="C5" s="10" t="s">
        <v>145</v>
      </c>
      <c r="D5" s="10">
        <v>2</v>
      </c>
      <c r="E5" s="13" t="str">
        <f ca="1">'RR LAFT'!P55</f>
        <v/>
      </c>
      <c r="F5" s="11" t="str">
        <f ca="1">'RR LAFT'!Q55</f>
        <v/>
      </c>
      <c r="G5" s="12" t="str">
        <f ca="1">'RR LAFT'!R55</f>
        <v/>
      </c>
    </row>
    <row r="6" spans="2:7" ht="120" customHeight="1" x14ac:dyDescent="0.2">
      <c r="B6" s="399"/>
      <c r="C6" s="10" t="s">
        <v>10</v>
      </c>
      <c r="D6" s="10">
        <v>1</v>
      </c>
      <c r="E6" s="13" t="str">
        <f ca="1">'RR LAFT'!K55</f>
        <v/>
      </c>
      <c r="F6" s="13" t="str">
        <f ca="1">'RR LAFT'!L55</f>
        <v/>
      </c>
      <c r="G6" s="11" t="str">
        <f ca="1">'RR LAFT'!M55</f>
        <v>1-CU;2-CU;3-CU;4-DN;5-RS;6-DN;7-CU;8-CC;</v>
      </c>
    </row>
    <row r="7" spans="2:7" ht="18" customHeight="1" x14ac:dyDescent="0.2">
      <c r="E7" s="10">
        <v>1</v>
      </c>
      <c r="F7" s="10">
        <v>2</v>
      </c>
      <c r="G7" s="10">
        <v>3</v>
      </c>
    </row>
    <row r="8" spans="2:7" ht="18" customHeight="1" x14ac:dyDescent="0.2">
      <c r="E8" s="10" t="s">
        <v>10</v>
      </c>
      <c r="F8" s="10" t="s">
        <v>145</v>
      </c>
      <c r="G8" s="10" t="s">
        <v>11</v>
      </c>
    </row>
    <row r="9" spans="2:7" ht="24.95" customHeight="1" x14ac:dyDescent="0.25">
      <c r="E9" s="400" t="s">
        <v>9</v>
      </c>
      <c r="F9" s="401"/>
      <c r="G9" s="402"/>
    </row>
    <row r="11" spans="2:7" ht="15" x14ac:dyDescent="0.2">
      <c r="E11" s="8" t="str">
        <f ca="1">IF('RR LAFT'!B5&gt;0,'RR LAFT'!B5,"")</f>
        <v>1-CU</v>
      </c>
      <c r="F11" s="9" t="str">
        <f ca="1">IF('RR LAFT'!C5&gt;0,'RR LAFT'!C5,"")</f>
        <v>Que una contraparte reciba sobornos de otras empresas/personas</v>
      </c>
    </row>
    <row r="12" spans="2:7" ht="15" x14ac:dyDescent="0.2">
      <c r="E12" s="8" t="str">
        <f ca="1">IF('RR LAFT'!B6&gt;0,'RR LAFT'!B6,"")</f>
        <v>2-CU</v>
      </c>
      <c r="F12" s="9" t="str">
        <f ca="1">IF('RR LAFT'!C6&gt;0,'RR LAFT'!C6,"")</f>
        <v>Que algún proveedor reciba sobornos de cualquier forma</v>
      </c>
    </row>
    <row r="13" spans="2:7" ht="15" x14ac:dyDescent="0.2">
      <c r="E13" s="8" t="str">
        <f ca="1">IF('RR LAFT'!B7&gt;0,'RR LAFT'!B7,"")</f>
        <v>3-CU</v>
      </c>
      <c r="F13" s="9" t="s">
        <v>282</v>
      </c>
    </row>
    <row r="14" spans="2:7" ht="15" x14ac:dyDescent="0.2">
      <c r="E14" s="8" t="str">
        <f ca="1">IF('RR LAFT'!B8&gt;0,'RR LAFT'!B8,"")</f>
        <v>4-DN</v>
      </c>
      <c r="F14" s="9" t="str">
        <f ca="1">IF('RR LAFT'!C8&gt;0,'RR LAFT'!C8,"")</f>
        <v>Que algún cliente reciba sobornos de cualquier forma</v>
      </c>
    </row>
    <row r="15" spans="2:7" ht="15" x14ac:dyDescent="0.2">
      <c r="E15" s="8" t="str">
        <f ca="1">IF('RR LAFT'!B9&gt;0,'RR LAFT'!B9,"")</f>
        <v>5-RS</v>
      </c>
      <c r="F15" s="9" t="str">
        <f ca="1">IF('RR LAFT'!C9&gt;0,'RR LAFT'!C9,"")</f>
        <v>Que algún empleado reciba sobornos de cualquier forma</v>
      </c>
    </row>
    <row r="16" spans="2:7" ht="15" x14ac:dyDescent="0.2">
      <c r="E16" s="8" t="str">
        <f ca="1">IF('RR LAFT'!B10&gt;0,'RR LAFT'!B10,"")</f>
        <v>6-DN</v>
      </c>
      <c r="F16" s="9" t="s">
        <v>283</v>
      </c>
    </row>
    <row r="17" spans="5:6" ht="15" x14ac:dyDescent="0.2">
      <c r="E17" s="8" t="str">
        <f ca="1">IF('RR LAFT'!B11&gt;0,'RR LAFT'!B11,"")</f>
        <v>7-CU</v>
      </c>
      <c r="F17" s="9" t="str">
        <f ca="1">IF('RR LAFT'!C11&gt;0,'RR LAFT'!C11,"")</f>
        <v>Desconocer que las caracteristicas propias del servicio prestado a un cliente o proveedor favorezcan actividades de Soborno</v>
      </c>
    </row>
    <row r="18" spans="5:6" ht="15" x14ac:dyDescent="0.2">
      <c r="E18" s="8" t="str">
        <f ca="1">IF('RR LAFT'!B12&gt;0,'RR LAFT'!B12,"")</f>
        <v>8-CC</v>
      </c>
      <c r="F18" s="9" t="str">
        <f ca="1">IF('RR LAFT'!C12&gt;0,'RR LAFT'!C12,"")</f>
        <v>Que se realice inadvertidamente pagos a un proveedor vinculado con actividades de Soborno</v>
      </c>
    </row>
    <row r="19" spans="5:6" ht="15" x14ac:dyDescent="0.2">
      <c r="E19" s="8" t="str">
        <f ca="1">IF('RR LAFT'!B13&gt;0,'RR LAFT'!B13,"")</f>
        <v/>
      </c>
      <c r="F19" s="9" t="str">
        <f ca="1">IF('RR LAFT'!C13&gt;0,'RR LAFT'!C13,"")</f>
        <v/>
      </c>
    </row>
    <row r="20" spans="5:6" ht="15" x14ac:dyDescent="0.2">
      <c r="E20" s="8" t="str">
        <f ca="1">IF('RR LAFT'!B14&gt;0,'RR LAFT'!B14,"")</f>
        <v/>
      </c>
      <c r="F20" s="9" t="str">
        <f ca="1">IF('RR LAFT'!C14&gt;0,'RR LAFT'!C14,"")</f>
        <v/>
      </c>
    </row>
    <row r="21" spans="5:6" ht="15" x14ac:dyDescent="0.2">
      <c r="E21" s="8" t="str">
        <f ca="1">IF('RR LAFT'!B15&gt;0,'RR LAFT'!B15,"")</f>
        <v/>
      </c>
      <c r="F21" s="9" t="str">
        <f ca="1">IF('RR LAFT'!C15&gt;0,'RR LAFT'!C15,"")</f>
        <v/>
      </c>
    </row>
    <row r="22" spans="5:6" ht="15" x14ac:dyDescent="0.2">
      <c r="E22" s="8" t="str">
        <f ca="1">IF('RR LAFT'!B16&gt;0,'RR LAFT'!B16,"")</f>
        <v/>
      </c>
      <c r="F22" s="9" t="str">
        <f ca="1">IF('RR LAFT'!C16&gt;0,'RR LAFT'!C16,"")</f>
        <v/>
      </c>
    </row>
    <row r="23" spans="5:6" ht="15" x14ac:dyDescent="0.2">
      <c r="E23" s="8" t="str">
        <f ca="1">IF('RR LAFT'!B17&gt;0,'RR LAFT'!B17,"")</f>
        <v/>
      </c>
      <c r="F23" s="9" t="str">
        <f ca="1">IF('RR LAFT'!C17&gt;0,'RR LAFT'!C17,"")</f>
        <v/>
      </c>
    </row>
    <row r="24" spans="5:6" ht="15" x14ac:dyDescent="0.2">
      <c r="E24" s="8" t="str">
        <f ca="1">IF('RR LAFT'!B18&gt;0,'RR LAFT'!B18,"")</f>
        <v/>
      </c>
      <c r="F24" s="9" t="str">
        <f ca="1">IF('RR LAFT'!C18&gt;0,'RR LAFT'!C18,"")</f>
        <v/>
      </c>
    </row>
    <row r="25" spans="5:6" ht="15" x14ac:dyDescent="0.2">
      <c r="E25" s="8" t="str">
        <f ca="1">IF('RR LAFT'!B19&gt;0,'RR LAFT'!B19,"")</f>
        <v/>
      </c>
      <c r="F25" s="9" t="str">
        <f ca="1">IF('RR LAFT'!C19&gt;0,'RR LAFT'!C19,"")</f>
        <v/>
      </c>
    </row>
    <row r="26" spans="5:6" ht="15" x14ac:dyDescent="0.2">
      <c r="E26" s="8" t="str">
        <f ca="1">IF('RR LAFT'!B20&gt;0,'RR LAFT'!B20,"")</f>
        <v/>
      </c>
      <c r="F26" s="9" t="str">
        <f ca="1">IF('RR LAFT'!C20&gt;0,'RR LAFT'!C20,"")</f>
        <v/>
      </c>
    </row>
    <row r="27" spans="5:6" ht="15" x14ac:dyDescent="0.2">
      <c r="E27" s="8" t="str">
        <f ca="1">IF('RR LAFT'!B21&gt;0,'RR LAFT'!B21,"")</f>
        <v/>
      </c>
      <c r="F27" s="9" t="str">
        <f ca="1">IF('RR LAFT'!C21&gt;0,'RR LAFT'!C21,"")</f>
        <v/>
      </c>
    </row>
    <row r="28" spans="5:6" ht="15" x14ac:dyDescent="0.2">
      <c r="E28" s="8" t="str">
        <f ca="1">IF('RR LAFT'!B22&gt;0,'RR LAFT'!B22,"")</f>
        <v/>
      </c>
      <c r="F28" s="9" t="str">
        <f ca="1">IF('RR LAFT'!C22&gt;0,'RR LAFT'!C22,"")</f>
        <v/>
      </c>
    </row>
    <row r="29" spans="5:6" ht="15" x14ac:dyDescent="0.2">
      <c r="E29" s="8" t="str">
        <f ca="1">IF('RR LAFT'!B23&gt;0,'RR LAFT'!B23,"")</f>
        <v/>
      </c>
      <c r="F29" s="9" t="str">
        <f ca="1">IF('RR LAFT'!C23&gt;0,'RR LAFT'!C23,"")</f>
        <v/>
      </c>
    </row>
    <row r="30" spans="5:6" ht="15" x14ac:dyDescent="0.2">
      <c r="E30" s="8" t="str">
        <f ca="1">IF('RR LAFT'!B24&gt;0,'RR LAFT'!B24,"")</f>
        <v/>
      </c>
      <c r="F30" s="9" t="str">
        <f ca="1">IF('RR LAFT'!C24&gt;0,'RR LAFT'!C24,"")</f>
        <v/>
      </c>
    </row>
    <row r="31" spans="5:6" ht="15" x14ac:dyDescent="0.2">
      <c r="E31" s="8" t="str">
        <f ca="1">IF('RR LAFT'!B25&gt;0,'RR LAFT'!B25,"")</f>
        <v/>
      </c>
      <c r="F31" s="9" t="str">
        <f ca="1">IF('RR LAFT'!C25&gt;0,'RR LAFT'!C25,"")</f>
        <v/>
      </c>
    </row>
    <row r="32" spans="5:6" ht="15" x14ac:dyDescent="0.2">
      <c r="E32" s="8" t="str">
        <f ca="1">IF('RR LAFT'!B26&gt;0,'RR LAFT'!B26,"")</f>
        <v/>
      </c>
      <c r="F32" s="9" t="str">
        <f ca="1">IF('RR LAFT'!C26&gt;0,'RR LAFT'!C26,"")</f>
        <v/>
      </c>
    </row>
    <row r="33" spans="5:6" ht="15" x14ac:dyDescent="0.2">
      <c r="E33" s="8" t="str">
        <f ca="1">IF('RR LAFT'!B27&gt;0,'RR LAFT'!B27,"")</f>
        <v/>
      </c>
      <c r="F33" s="9" t="str">
        <f ca="1">IF('RR LAFT'!C27&gt;0,'RR LAFT'!C27,"")</f>
        <v/>
      </c>
    </row>
    <row r="34" spans="5:6" ht="15" x14ac:dyDescent="0.2">
      <c r="E34" s="8" t="str">
        <f ca="1">IF('RR LAFT'!B28&gt;0,'RR LAFT'!B28,"")</f>
        <v/>
      </c>
      <c r="F34" s="9" t="str">
        <f ca="1">IF('RR LAFT'!C28&gt;0,'RR LAFT'!C28,"")</f>
        <v/>
      </c>
    </row>
    <row r="35" spans="5:6" ht="15" x14ac:dyDescent="0.2">
      <c r="E35" s="8" t="str">
        <f ca="1">IF('RR LAFT'!B29&gt;0,'RR LAFT'!B29,"")</f>
        <v/>
      </c>
      <c r="F35" s="9" t="str">
        <f ca="1">IF('RR LAFT'!C29&gt;0,'RR LAFT'!C29,"")</f>
        <v/>
      </c>
    </row>
    <row r="36" spans="5:6" ht="15" x14ac:dyDescent="0.2">
      <c r="E36" s="8" t="str">
        <f ca="1">IF('RR LAFT'!B30&gt;0,'RR LAFT'!B30,"")</f>
        <v/>
      </c>
      <c r="F36" s="9" t="str">
        <f ca="1">IF('RR LAFT'!C30&gt;0,'RR LAFT'!C30,"")</f>
        <v/>
      </c>
    </row>
    <row r="37" spans="5:6" ht="15" x14ac:dyDescent="0.2">
      <c r="E37" s="8" t="str">
        <f ca="1">IF('RR LAFT'!B31&gt;0,'RR LAFT'!B31,"")</f>
        <v/>
      </c>
      <c r="F37" s="9" t="str">
        <f ca="1">IF('RR LAFT'!C31&gt;0,'RR LAFT'!C31,"")</f>
        <v/>
      </c>
    </row>
    <row r="38" spans="5:6" ht="15" x14ac:dyDescent="0.2">
      <c r="E38" s="8" t="str">
        <f ca="1">IF('RR LAFT'!B32&gt;0,'RR LAFT'!B32,"")</f>
        <v/>
      </c>
      <c r="F38" s="9" t="str">
        <f ca="1">IF('RR LAFT'!C32&gt;0,'RR LAFT'!C32,"")</f>
        <v/>
      </c>
    </row>
    <row r="39" spans="5:6" ht="15" x14ac:dyDescent="0.2">
      <c r="E39" s="8" t="str">
        <f ca="1">IF('RR LAFT'!B33&gt;0,'RR LAFT'!B33,"")</f>
        <v/>
      </c>
      <c r="F39" s="9" t="str">
        <f ca="1">IF('RR LAFT'!C33&gt;0,'RR LAFT'!C33,"")</f>
        <v/>
      </c>
    </row>
    <row r="40" spans="5:6" ht="15" x14ac:dyDescent="0.2">
      <c r="E40" s="8" t="str">
        <f ca="1">IF('RR LAFT'!B34&gt;0,'RR LAFT'!B34,"")</f>
        <v/>
      </c>
      <c r="F40" s="9" t="str">
        <f ca="1">IF('RR LAFT'!C34&gt;0,'RR LAFT'!C34,"")</f>
        <v/>
      </c>
    </row>
    <row r="41" spans="5:6" ht="15" x14ac:dyDescent="0.2">
      <c r="E41" s="8" t="str">
        <f ca="1">IF('RR LAFT'!B35&gt;0,'RR LAFT'!B35,"")</f>
        <v/>
      </c>
      <c r="F41" s="9" t="str">
        <f ca="1">IF('RR LAFT'!C35&gt;0,'RR LAFT'!C35,"")</f>
        <v/>
      </c>
    </row>
    <row r="42" spans="5:6" ht="15" x14ac:dyDescent="0.2">
      <c r="E42" s="8" t="str">
        <f ca="1">IF('RR LAFT'!B36&gt;0,'RR LAFT'!B36,"")</f>
        <v/>
      </c>
      <c r="F42" s="9" t="str">
        <f ca="1">IF('RR LAFT'!C36&gt;0,'RR LAFT'!C36,"")</f>
        <v/>
      </c>
    </row>
    <row r="43" spans="5:6" ht="15" x14ac:dyDescent="0.2">
      <c r="E43" s="8" t="str">
        <f ca="1">IF('RR LAFT'!B37&gt;0,'RR LAFT'!B37,"")</f>
        <v/>
      </c>
      <c r="F43" s="9" t="str">
        <f ca="1">IF('RR LAFT'!C37&gt;0,'RR LAFT'!C37,"")</f>
        <v/>
      </c>
    </row>
    <row r="44" spans="5:6" ht="15" x14ac:dyDescent="0.2">
      <c r="E44" s="8" t="str">
        <f ca="1">IF('RR LAFT'!B38&gt;0,'RR LAFT'!B38,"")</f>
        <v/>
      </c>
      <c r="F44" s="9" t="str">
        <f ca="1">IF('RR LAFT'!C38&gt;0,'RR LAFT'!C38,"")</f>
        <v/>
      </c>
    </row>
    <row r="45" spans="5:6" ht="15" x14ac:dyDescent="0.2">
      <c r="E45" s="8" t="str">
        <f ca="1">IF('RR LAFT'!B39&gt;0,'RR LAFT'!B39,"")</f>
        <v/>
      </c>
      <c r="F45" s="9" t="str">
        <f ca="1">IF('RR LAFT'!C39&gt;0,'RR LAFT'!C39,"")</f>
        <v/>
      </c>
    </row>
    <row r="46" spans="5:6" ht="15" x14ac:dyDescent="0.2">
      <c r="E46" s="8" t="str">
        <f ca="1">IF('RR LAFT'!B40&gt;0,'RR LAFT'!B40,"")</f>
        <v/>
      </c>
      <c r="F46" s="9" t="str">
        <f ca="1">IF('RR LAFT'!C40&gt;0,'RR LAFT'!C40,"")</f>
        <v/>
      </c>
    </row>
    <row r="47" spans="5:6" ht="15" x14ac:dyDescent="0.2">
      <c r="E47" s="8" t="str">
        <f ca="1">IF('RR LAFT'!B41&gt;0,'RR LAFT'!B41,"")</f>
        <v/>
      </c>
      <c r="F47" s="9" t="str">
        <f ca="1">IF('RR LAFT'!C41&gt;0,'RR LAFT'!C41,"")</f>
        <v/>
      </c>
    </row>
    <row r="48" spans="5:6" ht="15" x14ac:dyDescent="0.2">
      <c r="E48" s="8" t="str">
        <f ca="1">IF('RR LAFT'!B42&gt;0,'RR LAFT'!B42,"")</f>
        <v/>
      </c>
      <c r="F48" s="9" t="str">
        <f ca="1">IF('RR LAFT'!C42&gt;0,'RR LAFT'!C42,"")</f>
        <v/>
      </c>
    </row>
    <row r="49" spans="5:6" ht="15" x14ac:dyDescent="0.2">
      <c r="E49" s="8" t="str">
        <f ca="1">IF('RR LAFT'!B43&gt;0,'RR LAFT'!B43,"")</f>
        <v/>
      </c>
      <c r="F49" s="9" t="str">
        <f ca="1">IF('RR LAFT'!C43&gt;0,'RR LAFT'!C43,"")</f>
        <v/>
      </c>
    </row>
    <row r="50" spans="5:6" ht="15" x14ac:dyDescent="0.2">
      <c r="E50" s="8" t="str">
        <f ca="1">IF('RR LAFT'!B44&gt;0,'RR LAFT'!B44,"")</f>
        <v/>
      </c>
      <c r="F50" s="9" t="str">
        <f ca="1">IF('RR LAFT'!C44&gt;0,'RR LAFT'!C44,"")</f>
        <v/>
      </c>
    </row>
    <row r="51" spans="5:6" ht="15" x14ac:dyDescent="0.2">
      <c r="E51" s="8" t="str">
        <f ca="1">IF('RR LAFT'!B45&gt;0,'RR LAFT'!B45,"")</f>
        <v/>
      </c>
      <c r="F51" s="9" t="str">
        <f ca="1">IF('RR LAFT'!C45&gt;0,'RR LAFT'!C45,"")</f>
        <v/>
      </c>
    </row>
    <row r="52" spans="5:6" ht="15" x14ac:dyDescent="0.2">
      <c r="E52" s="8" t="str">
        <f ca="1">IF('RR LAFT'!B46&gt;0,'RR LAFT'!B46,"")</f>
        <v/>
      </c>
      <c r="F52" s="9" t="str">
        <f ca="1">IF('RR LAFT'!C46&gt;0,'RR LAFT'!C46,"")</f>
        <v/>
      </c>
    </row>
    <row r="53" spans="5:6" ht="15" x14ac:dyDescent="0.2">
      <c r="E53" s="8" t="str">
        <f ca="1">IF('RR LAFT'!B47&gt;0,'RR LAFT'!B47,"")</f>
        <v/>
      </c>
      <c r="F53" s="9" t="str">
        <f ca="1">IF('RR LAFT'!C47&gt;0,'RR LAFT'!C47,"")</f>
        <v/>
      </c>
    </row>
    <row r="54" spans="5:6" ht="15" x14ac:dyDescent="0.2">
      <c r="E54" s="8" t="str">
        <f ca="1">IF('RR LAFT'!B48&gt;0,'RR LAFT'!B48,"")</f>
        <v/>
      </c>
      <c r="F54" s="9" t="str">
        <f ca="1">IF('RR LAFT'!C48&gt;0,'RR LAFT'!C48,"")</f>
        <v/>
      </c>
    </row>
    <row r="55" spans="5:6" ht="15" x14ac:dyDescent="0.2">
      <c r="E55" s="8" t="str">
        <f ca="1">IF('RR LAFT'!B49&gt;0,'RR LAFT'!B49,"")</f>
        <v/>
      </c>
      <c r="F55" s="9" t="str">
        <f ca="1">IF('RR LAFT'!C49&gt;0,'RR LAFT'!C49,"")</f>
        <v/>
      </c>
    </row>
    <row r="56" spans="5:6" ht="15" x14ac:dyDescent="0.2">
      <c r="E56" s="8" t="str">
        <f ca="1">IF('RR LAFT'!B50&gt;0,'RR LAFT'!B50,"")</f>
        <v/>
      </c>
      <c r="F56" s="9" t="str">
        <f ca="1">IF('RR LAFT'!C50&gt;0,'RR LAFT'!C50,"")</f>
        <v/>
      </c>
    </row>
    <row r="57" spans="5:6" ht="15" x14ac:dyDescent="0.2">
      <c r="E57" s="8" t="str">
        <f ca="1">IF('RR LAFT'!B51&gt;0,'RR LAFT'!B51,"")</f>
        <v/>
      </c>
      <c r="F57" s="9" t="str">
        <f ca="1">IF('RR LAFT'!C51&gt;0,'RR LAFT'!C51,"")</f>
        <v/>
      </c>
    </row>
    <row r="58" spans="5:6" ht="15" x14ac:dyDescent="0.2">
      <c r="E58" s="8" t="str">
        <f ca="1">IF('RR LAFT'!B52&gt;0,'RR LAFT'!B52,"")</f>
        <v/>
      </c>
      <c r="F58" s="9" t="str">
        <f ca="1">IF('RR LAFT'!C52&gt;0,'RR LAFT'!C52,"")</f>
        <v/>
      </c>
    </row>
    <row r="59" spans="5:6" ht="15" x14ac:dyDescent="0.2">
      <c r="E59" s="8" t="str">
        <f ca="1">IF('RR LAFT'!B53&gt;0,'RR LAFT'!B53,"")</f>
        <v/>
      </c>
      <c r="F59" s="9" t="str">
        <f ca="1">IF('RR LAFT'!C53&gt;0,'RR LAFT'!C53,"")</f>
        <v/>
      </c>
    </row>
    <row r="60" spans="5:6" ht="15" x14ac:dyDescent="0.2">
      <c r="E60" s="8" t="str">
        <f ca="1">IF('RR LAFT'!B54&gt;0,'RR LAFT'!B54,"")</f>
        <v/>
      </c>
      <c r="F60" s="9" t="str">
        <f ca="1">IF('RR LAFT'!C54&gt;0,'RR LAFT'!C54,"")</f>
        <v/>
      </c>
    </row>
  </sheetData>
  <mergeCells count="3">
    <mergeCell ref="B2:G2"/>
    <mergeCell ref="B4:B6"/>
    <mergeCell ref="E9:G9"/>
  </mergeCells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1"/>
  </sheetPr>
  <dimension ref="B1:AE85"/>
  <sheetViews>
    <sheetView topLeftCell="L11" zoomScale="60" zoomScaleNormal="60" workbookViewId="0">
      <selection activeCell="Q16" sqref="Q16"/>
    </sheetView>
  </sheetViews>
  <sheetFormatPr defaultColWidth="11.42578125" defaultRowHeight="15" x14ac:dyDescent="0.3"/>
  <cols>
    <col min="1" max="1" width="5.5703125" style="85" customWidth="1"/>
    <col min="2" max="2" width="45.140625" style="85" customWidth="1"/>
    <col min="3" max="4" width="5.5703125" style="85" customWidth="1"/>
    <col min="5" max="5" width="21.5703125" style="85" bestFit="1" customWidth="1"/>
    <col min="6" max="7" width="5.5703125" style="85" customWidth="1"/>
    <col min="8" max="8" width="34.140625" style="85" bestFit="1" customWidth="1"/>
    <col min="9" max="10" width="5.5703125" style="85" customWidth="1"/>
    <col min="11" max="11" width="84" style="85" bestFit="1" customWidth="1"/>
    <col min="12" max="12" width="6.5703125" style="85" bestFit="1" customWidth="1"/>
    <col min="13" max="13" width="5.5703125" style="85" customWidth="1"/>
    <col min="14" max="14" width="19.5703125" style="85" bestFit="1" customWidth="1"/>
    <col min="15" max="16" width="5.5703125" style="85" customWidth="1"/>
    <col min="17" max="17" width="35.5703125" style="85" customWidth="1"/>
    <col min="18" max="19" width="5.5703125" style="85" customWidth="1"/>
    <col min="20" max="20" width="28.140625" style="85" customWidth="1"/>
    <col min="21" max="22" width="5.5703125" style="85" customWidth="1"/>
    <col min="23" max="23" width="28.5703125" style="85" customWidth="1"/>
    <col min="24" max="25" width="5.5703125" style="85" customWidth="1"/>
    <col min="26" max="30" width="11.42578125" style="85"/>
    <col min="31" max="31" width="29.7109375" style="85" customWidth="1"/>
    <col min="32" max="16384" width="11.42578125" style="85"/>
  </cols>
  <sheetData>
    <row r="1" spans="2:31" ht="15.75" thickBot="1" x14ac:dyDescent="0.35">
      <c r="B1" s="134" t="s">
        <v>31</v>
      </c>
      <c r="C1" s="134"/>
      <c r="D1" s="134"/>
      <c r="E1" s="134" t="s">
        <v>32</v>
      </c>
      <c r="F1" s="134"/>
      <c r="G1" s="134"/>
      <c r="H1" s="134" t="s">
        <v>37</v>
      </c>
      <c r="I1" s="134"/>
      <c r="J1" s="134"/>
      <c r="K1" s="134" t="s">
        <v>16</v>
      </c>
      <c r="L1" s="134"/>
      <c r="M1" s="134"/>
      <c r="N1" s="134" t="s">
        <v>41</v>
      </c>
      <c r="O1" s="134"/>
      <c r="P1" s="134"/>
      <c r="Q1" s="134" t="s">
        <v>13</v>
      </c>
      <c r="R1" s="134"/>
      <c r="S1" s="134"/>
      <c r="T1" s="134" t="s">
        <v>96</v>
      </c>
      <c r="U1" s="134"/>
      <c r="V1" s="134"/>
      <c r="W1" s="134" t="s">
        <v>92</v>
      </c>
      <c r="X1" s="134"/>
      <c r="Y1" s="134"/>
      <c r="Z1" s="134" t="s">
        <v>103</v>
      </c>
      <c r="AA1" s="134"/>
      <c r="AB1" s="134"/>
      <c r="AC1" s="134"/>
      <c r="AD1" s="123" t="s">
        <v>52</v>
      </c>
      <c r="AE1" s="133" t="s">
        <v>205</v>
      </c>
    </row>
    <row r="2" spans="2:31" ht="45.75" thickBot="1" x14ac:dyDescent="0.35">
      <c r="B2" s="124" t="s">
        <v>231</v>
      </c>
      <c r="C2" s="125" t="s">
        <v>56</v>
      </c>
      <c r="D2" s="125"/>
      <c r="E2" s="126" t="s">
        <v>156</v>
      </c>
      <c r="F2" s="125" t="s">
        <v>56</v>
      </c>
      <c r="G2" s="125"/>
      <c r="H2" s="85" t="s">
        <v>34</v>
      </c>
      <c r="I2" s="125" t="s">
        <v>56</v>
      </c>
      <c r="J2" s="125"/>
      <c r="K2" s="126" t="s">
        <v>159</v>
      </c>
      <c r="L2" s="126" t="s">
        <v>178</v>
      </c>
      <c r="M2" s="125"/>
      <c r="N2" s="85" t="s">
        <v>43</v>
      </c>
      <c r="O2" s="125" t="s">
        <v>56</v>
      </c>
      <c r="Q2" s="124" t="s">
        <v>217</v>
      </c>
      <c r="R2" s="125" t="s">
        <v>56</v>
      </c>
      <c r="T2" s="85" t="s">
        <v>54</v>
      </c>
      <c r="U2" s="125" t="s">
        <v>56</v>
      </c>
      <c r="W2" s="85" t="s">
        <v>81</v>
      </c>
      <c r="X2" s="125" t="s">
        <v>56</v>
      </c>
      <c r="Y2" s="125"/>
      <c r="Z2" s="85">
        <v>1</v>
      </c>
      <c r="AD2" s="85" t="s">
        <v>49</v>
      </c>
      <c r="AE2" s="124" t="s">
        <v>206</v>
      </c>
    </row>
    <row r="3" spans="2:31" ht="66" customHeight="1" thickBot="1" x14ac:dyDescent="0.35">
      <c r="B3" s="124" t="s">
        <v>236</v>
      </c>
      <c r="C3" s="125" t="s">
        <v>56</v>
      </c>
      <c r="D3" s="125"/>
      <c r="E3" s="126" t="s">
        <v>199</v>
      </c>
      <c r="F3" s="125" t="s">
        <v>56</v>
      </c>
      <c r="G3" s="125"/>
      <c r="H3" s="85" t="s">
        <v>33</v>
      </c>
      <c r="I3" s="125" t="s">
        <v>56</v>
      </c>
      <c r="J3" s="125"/>
      <c r="K3" s="126" t="s">
        <v>222</v>
      </c>
      <c r="L3" s="126" t="s">
        <v>223</v>
      </c>
      <c r="M3" s="125"/>
      <c r="N3" s="85" t="s">
        <v>39</v>
      </c>
      <c r="O3" s="125" t="s">
        <v>56</v>
      </c>
      <c r="Q3" s="124" t="s">
        <v>209</v>
      </c>
      <c r="R3" s="125" t="s">
        <v>56</v>
      </c>
      <c r="T3" s="85" t="s">
        <v>53</v>
      </c>
      <c r="U3" s="125" t="s">
        <v>56</v>
      </c>
      <c r="W3" s="85" t="s">
        <v>82</v>
      </c>
      <c r="X3" s="125" t="s">
        <v>56</v>
      </c>
      <c r="Y3" s="125"/>
      <c r="Z3" s="85">
        <v>2</v>
      </c>
      <c r="AD3" s="85" t="s">
        <v>48</v>
      </c>
      <c r="AE3" s="124" t="s">
        <v>207</v>
      </c>
    </row>
    <row r="4" spans="2:31" ht="45.75" thickBot="1" x14ac:dyDescent="0.35">
      <c r="B4" s="124" t="s">
        <v>228</v>
      </c>
      <c r="C4" s="125" t="s">
        <v>56</v>
      </c>
      <c r="D4" s="125"/>
      <c r="E4" s="126" t="s">
        <v>200</v>
      </c>
      <c r="F4" s="125" t="s">
        <v>56</v>
      </c>
      <c r="G4" s="125"/>
      <c r="H4" s="85" t="s">
        <v>36</v>
      </c>
      <c r="I4" s="125" t="s">
        <v>56</v>
      </c>
      <c r="J4" s="125"/>
      <c r="K4" s="126" t="s">
        <v>160</v>
      </c>
      <c r="L4" s="126" t="s">
        <v>179</v>
      </c>
      <c r="M4" s="125"/>
      <c r="N4" s="85" t="s">
        <v>45</v>
      </c>
      <c r="O4" s="125" t="s">
        <v>56</v>
      </c>
      <c r="Q4" s="124" t="s">
        <v>286</v>
      </c>
      <c r="R4" s="125" t="s">
        <v>56</v>
      </c>
      <c r="T4" s="85" t="s">
        <v>51</v>
      </c>
      <c r="U4" s="125" t="s">
        <v>56</v>
      </c>
      <c r="W4" s="85" t="s">
        <v>93</v>
      </c>
      <c r="X4" s="125" t="s">
        <v>56</v>
      </c>
      <c r="Y4" s="125"/>
      <c r="Z4" s="85">
        <v>3</v>
      </c>
      <c r="AD4" s="85" t="s">
        <v>50</v>
      </c>
      <c r="AE4" s="124" t="s">
        <v>241</v>
      </c>
    </row>
    <row r="5" spans="2:31" ht="60.75" thickBot="1" x14ac:dyDescent="0.35">
      <c r="B5" s="124" t="s">
        <v>230</v>
      </c>
      <c r="C5" s="125" t="s">
        <v>56</v>
      </c>
      <c r="D5" s="125"/>
      <c r="E5" s="126" t="s">
        <v>201</v>
      </c>
      <c r="F5" s="125" t="s">
        <v>56</v>
      </c>
      <c r="G5" s="125"/>
      <c r="H5" s="85" t="s">
        <v>35</v>
      </c>
      <c r="I5" s="125" t="s">
        <v>56</v>
      </c>
      <c r="J5" s="125"/>
      <c r="K5" s="126" t="s">
        <v>161</v>
      </c>
      <c r="L5" s="126" t="s">
        <v>180</v>
      </c>
      <c r="M5" s="125"/>
      <c r="N5" s="85" t="s">
        <v>44</v>
      </c>
      <c r="O5" s="125" t="s">
        <v>56</v>
      </c>
      <c r="Q5" s="124" t="s">
        <v>210</v>
      </c>
      <c r="R5" s="125" t="s">
        <v>56</v>
      </c>
      <c r="T5" s="85" t="s">
        <v>8</v>
      </c>
      <c r="U5" s="125" t="s">
        <v>56</v>
      </c>
      <c r="W5" s="85" t="s">
        <v>83</v>
      </c>
      <c r="X5" s="125" t="s">
        <v>56</v>
      </c>
      <c r="Y5" s="125"/>
      <c r="Z5" s="85">
        <v>4</v>
      </c>
      <c r="AE5" s="124" t="s">
        <v>242</v>
      </c>
    </row>
    <row r="6" spans="2:31" ht="30.75" thickBot="1" x14ac:dyDescent="0.35">
      <c r="B6" s="124" t="s">
        <v>153</v>
      </c>
      <c r="C6" s="125" t="s">
        <v>56</v>
      </c>
      <c r="D6" s="125"/>
      <c r="E6" s="126" t="s">
        <v>202</v>
      </c>
      <c r="F6" s="125" t="s">
        <v>56</v>
      </c>
      <c r="G6" s="125"/>
      <c r="I6" s="125" t="s">
        <v>56</v>
      </c>
      <c r="J6" s="125"/>
      <c r="K6" s="126" t="s">
        <v>162</v>
      </c>
      <c r="L6" s="126" t="s">
        <v>181</v>
      </c>
      <c r="M6" s="125"/>
      <c r="N6" s="85" t="s">
        <v>42</v>
      </c>
      <c r="O6" s="125" t="s">
        <v>56</v>
      </c>
      <c r="Q6" s="124" t="s">
        <v>211</v>
      </c>
      <c r="R6" s="125" t="s">
        <v>56</v>
      </c>
      <c r="U6" s="125" t="s">
        <v>56</v>
      </c>
      <c r="W6" s="85" t="s">
        <v>84</v>
      </c>
      <c r="X6" s="125" t="s">
        <v>56</v>
      </c>
      <c r="Y6" s="125"/>
      <c r="Z6" s="85">
        <v>5</v>
      </c>
      <c r="AE6" s="124" t="s">
        <v>248</v>
      </c>
    </row>
    <row r="7" spans="2:31" ht="60.75" thickBot="1" x14ac:dyDescent="0.35">
      <c r="B7" s="124" t="s">
        <v>154</v>
      </c>
      <c r="C7" s="125" t="s">
        <v>56</v>
      </c>
      <c r="D7" s="125"/>
      <c r="E7" s="126" t="s">
        <v>158</v>
      </c>
      <c r="F7" s="125" t="s">
        <v>56</v>
      </c>
      <c r="G7" s="125"/>
      <c r="I7" s="125" t="s">
        <v>56</v>
      </c>
      <c r="J7" s="125"/>
      <c r="K7" s="126" t="s">
        <v>163</v>
      </c>
      <c r="L7" s="126" t="s">
        <v>182</v>
      </c>
      <c r="M7" s="125"/>
      <c r="N7" s="85" t="s">
        <v>47</v>
      </c>
      <c r="O7" s="125" t="s">
        <v>56</v>
      </c>
      <c r="Q7" s="124" t="s">
        <v>285</v>
      </c>
      <c r="R7" s="125" t="s">
        <v>56</v>
      </c>
      <c r="U7" s="125" t="s">
        <v>56</v>
      </c>
      <c r="W7" s="85" t="s">
        <v>94</v>
      </c>
      <c r="X7" s="125" t="s">
        <v>56</v>
      </c>
      <c r="Y7" s="125"/>
      <c r="Z7" s="85">
        <v>6</v>
      </c>
      <c r="AE7" s="124" t="s">
        <v>243</v>
      </c>
    </row>
    <row r="8" spans="2:31" ht="60.75" thickBot="1" x14ac:dyDescent="0.35">
      <c r="B8" s="124" t="s">
        <v>239</v>
      </c>
      <c r="C8" s="125" t="s">
        <v>56</v>
      </c>
      <c r="D8" s="125"/>
      <c r="E8" s="126" t="s">
        <v>203</v>
      </c>
      <c r="F8" s="125" t="s">
        <v>56</v>
      </c>
      <c r="G8" s="125"/>
      <c r="I8" s="125" t="s">
        <v>56</v>
      </c>
      <c r="J8" s="125"/>
      <c r="K8" s="126" t="s">
        <v>218</v>
      </c>
      <c r="L8" s="126" t="s">
        <v>219</v>
      </c>
      <c r="M8" s="125"/>
      <c r="N8" s="85" t="s">
        <v>46</v>
      </c>
      <c r="O8" s="125" t="s">
        <v>56</v>
      </c>
      <c r="Q8" s="124" t="s">
        <v>212</v>
      </c>
      <c r="R8" s="125" t="s">
        <v>56</v>
      </c>
      <c r="U8" s="125" t="s">
        <v>56</v>
      </c>
      <c r="W8" s="85" t="s">
        <v>85</v>
      </c>
      <c r="X8" s="125" t="s">
        <v>56</v>
      </c>
      <c r="Y8" s="125"/>
      <c r="Z8" s="85">
        <v>7</v>
      </c>
      <c r="AE8" s="124" t="s">
        <v>244</v>
      </c>
    </row>
    <row r="9" spans="2:31" ht="45.75" thickBot="1" x14ac:dyDescent="0.35">
      <c r="B9" s="124" t="s">
        <v>238</v>
      </c>
      <c r="C9" s="125" t="s">
        <v>56</v>
      </c>
      <c r="D9" s="125"/>
      <c r="E9" s="126" t="s">
        <v>204</v>
      </c>
      <c r="F9" s="125" t="s">
        <v>56</v>
      </c>
      <c r="G9" s="125"/>
      <c r="I9" s="125" t="s">
        <v>56</v>
      </c>
      <c r="J9" s="125"/>
      <c r="K9" s="126" t="s">
        <v>220</v>
      </c>
      <c r="L9" s="126" t="s">
        <v>183</v>
      </c>
      <c r="M9" s="125"/>
      <c r="O9" s="125" t="s">
        <v>56</v>
      </c>
      <c r="Q9" s="124" t="s">
        <v>215</v>
      </c>
      <c r="R9" s="125" t="s">
        <v>56</v>
      </c>
      <c r="U9" s="125" t="s">
        <v>56</v>
      </c>
      <c r="W9" s="85" t="s">
        <v>86</v>
      </c>
      <c r="X9" s="125" t="s">
        <v>56</v>
      </c>
      <c r="Y9" s="125"/>
      <c r="Z9" s="85">
        <v>8</v>
      </c>
      <c r="AE9" s="124" t="s">
        <v>245</v>
      </c>
    </row>
    <row r="10" spans="2:31" ht="65.25" customHeight="1" thickBot="1" x14ac:dyDescent="0.35">
      <c r="B10" s="124" t="s">
        <v>240</v>
      </c>
      <c r="C10" s="125" t="s">
        <v>56</v>
      </c>
      <c r="D10" s="125"/>
      <c r="F10" s="125" t="s">
        <v>56</v>
      </c>
      <c r="G10" s="125"/>
      <c r="I10" s="125" t="s">
        <v>56</v>
      </c>
      <c r="J10" s="125"/>
      <c r="K10" s="126" t="s">
        <v>221</v>
      </c>
      <c r="L10" s="126" t="s">
        <v>157</v>
      </c>
      <c r="M10" s="125"/>
      <c r="O10" s="125" t="s">
        <v>56</v>
      </c>
      <c r="Q10" s="124" t="s">
        <v>216</v>
      </c>
      <c r="R10" s="125" t="s">
        <v>56</v>
      </c>
      <c r="U10" s="125" t="s">
        <v>56</v>
      </c>
      <c r="W10" s="85" t="s">
        <v>87</v>
      </c>
      <c r="X10" s="125" t="s">
        <v>56</v>
      </c>
      <c r="Y10" s="125"/>
      <c r="Z10" s="85">
        <v>9</v>
      </c>
      <c r="AE10" s="124" t="s">
        <v>208</v>
      </c>
    </row>
    <row r="11" spans="2:31" ht="90.75" thickBot="1" x14ac:dyDescent="0.35">
      <c r="B11" s="124" t="s">
        <v>229</v>
      </c>
      <c r="C11" s="125" t="s">
        <v>56</v>
      </c>
      <c r="D11" s="125"/>
      <c r="F11" s="125" t="s">
        <v>56</v>
      </c>
      <c r="G11" s="125"/>
      <c r="I11" s="125" t="s">
        <v>56</v>
      </c>
      <c r="J11" s="125"/>
      <c r="K11" s="126" t="s">
        <v>164</v>
      </c>
      <c r="L11" s="126" t="s">
        <v>184</v>
      </c>
      <c r="M11" s="125"/>
      <c r="O11" s="125" t="s">
        <v>56</v>
      </c>
      <c r="Q11" s="124" t="s">
        <v>287</v>
      </c>
      <c r="R11" s="125" t="s">
        <v>56</v>
      </c>
      <c r="U11" s="125" t="s">
        <v>56</v>
      </c>
      <c r="W11" s="85" t="s">
        <v>88</v>
      </c>
      <c r="X11" s="125" t="s">
        <v>56</v>
      </c>
      <c r="Y11" s="125"/>
      <c r="Z11" s="85">
        <v>10</v>
      </c>
      <c r="AE11" s="124" t="s">
        <v>246</v>
      </c>
    </row>
    <row r="12" spans="2:31" ht="60.75" thickBot="1" x14ac:dyDescent="0.35">
      <c r="B12" s="124" t="s">
        <v>237</v>
      </c>
      <c r="C12" s="125" t="s">
        <v>56</v>
      </c>
      <c r="D12" s="125"/>
      <c r="F12" s="125" t="s">
        <v>56</v>
      </c>
      <c r="G12" s="125"/>
      <c r="I12" s="125" t="s">
        <v>56</v>
      </c>
      <c r="J12" s="125"/>
      <c r="K12" s="126" t="s">
        <v>165</v>
      </c>
      <c r="L12" s="126" t="s">
        <v>185</v>
      </c>
      <c r="M12" s="125"/>
      <c r="O12" s="125" t="s">
        <v>56</v>
      </c>
      <c r="Q12" s="124" t="s">
        <v>288</v>
      </c>
      <c r="R12" s="125" t="s">
        <v>56</v>
      </c>
      <c r="U12" s="125" t="s">
        <v>56</v>
      </c>
      <c r="W12" s="85" t="s">
        <v>89</v>
      </c>
      <c r="X12" s="125" t="s">
        <v>56</v>
      </c>
      <c r="Y12" s="125"/>
      <c r="Z12" s="85">
        <v>11</v>
      </c>
      <c r="AE12" s="124" t="s">
        <v>247</v>
      </c>
    </row>
    <row r="13" spans="2:31" ht="105.75" thickBot="1" x14ac:dyDescent="0.35">
      <c r="B13" s="124" t="s">
        <v>232</v>
      </c>
      <c r="C13" s="125" t="s">
        <v>56</v>
      </c>
      <c r="D13" s="125"/>
      <c r="F13" s="125" t="s">
        <v>56</v>
      </c>
      <c r="G13" s="125"/>
      <c r="I13" s="125" t="s">
        <v>56</v>
      </c>
      <c r="J13" s="125"/>
      <c r="K13" s="126" t="s">
        <v>249</v>
      </c>
      <c r="L13" s="126" t="s">
        <v>186</v>
      </c>
      <c r="M13" s="125"/>
      <c r="O13" s="125" t="s">
        <v>56</v>
      </c>
      <c r="Q13" s="124" t="s">
        <v>289</v>
      </c>
      <c r="R13" s="125" t="s">
        <v>56</v>
      </c>
      <c r="U13" s="125" t="s">
        <v>56</v>
      </c>
      <c r="W13" s="85" t="s">
        <v>90</v>
      </c>
      <c r="X13" s="125" t="s">
        <v>56</v>
      </c>
      <c r="Y13" s="125"/>
      <c r="Z13" s="85">
        <v>12</v>
      </c>
      <c r="AE13" s="124"/>
    </row>
    <row r="14" spans="2:31" ht="45.75" thickBot="1" x14ac:dyDescent="0.35">
      <c r="B14" s="124" t="s">
        <v>233</v>
      </c>
      <c r="C14" s="125" t="s">
        <v>56</v>
      </c>
      <c r="D14" s="125"/>
      <c r="F14" s="125" t="s">
        <v>56</v>
      </c>
      <c r="G14" s="125"/>
      <c r="I14" s="125" t="s">
        <v>56</v>
      </c>
      <c r="J14" s="125"/>
      <c r="K14" s="126" t="s">
        <v>250</v>
      </c>
      <c r="L14" s="126" t="s">
        <v>187</v>
      </c>
      <c r="M14" s="125"/>
      <c r="O14" s="125" t="s">
        <v>56</v>
      </c>
      <c r="Q14" s="124" t="s">
        <v>290</v>
      </c>
      <c r="R14" s="125" t="s">
        <v>56</v>
      </c>
      <c r="U14" s="125" t="s">
        <v>56</v>
      </c>
      <c r="W14" s="85" t="s">
        <v>91</v>
      </c>
      <c r="X14" s="125" t="s">
        <v>56</v>
      </c>
      <c r="Y14" s="125"/>
      <c r="Z14" s="85">
        <v>13</v>
      </c>
      <c r="AE14" s="124"/>
    </row>
    <row r="15" spans="2:31" ht="45.75" thickBot="1" x14ac:dyDescent="0.35">
      <c r="B15" s="124" t="s">
        <v>234</v>
      </c>
      <c r="C15" s="125" t="s">
        <v>56</v>
      </c>
      <c r="D15" s="125"/>
      <c r="F15" s="125" t="s">
        <v>56</v>
      </c>
      <c r="G15" s="125"/>
      <c r="I15" s="125" t="s">
        <v>56</v>
      </c>
      <c r="J15" s="125"/>
      <c r="K15" s="126" t="s">
        <v>166</v>
      </c>
      <c r="L15" s="126" t="s">
        <v>188</v>
      </c>
      <c r="M15" s="125"/>
      <c r="O15" s="125" t="s">
        <v>56</v>
      </c>
      <c r="Q15" s="127" t="s">
        <v>213</v>
      </c>
      <c r="R15" s="125" t="s">
        <v>56</v>
      </c>
      <c r="U15" s="125" t="s">
        <v>56</v>
      </c>
      <c r="W15" s="85" t="s">
        <v>95</v>
      </c>
      <c r="X15" s="125" t="s">
        <v>56</v>
      </c>
      <c r="Y15" s="125"/>
      <c r="Z15" s="85">
        <v>14</v>
      </c>
      <c r="AE15" s="124"/>
    </row>
    <row r="16" spans="2:31" ht="30.75" thickBot="1" x14ac:dyDescent="0.35">
      <c r="B16" s="124" t="s">
        <v>235</v>
      </c>
      <c r="C16" s="125" t="s">
        <v>56</v>
      </c>
      <c r="D16" s="125"/>
      <c r="F16" s="125" t="s">
        <v>56</v>
      </c>
      <c r="G16" s="125"/>
      <c r="I16" s="125" t="s">
        <v>56</v>
      </c>
      <c r="J16" s="125"/>
      <c r="K16" s="126" t="s">
        <v>167</v>
      </c>
      <c r="L16" s="126" t="s">
        <v>189</v>
      </c>
      <c r="M16" s="125"/>
      <c r="O16" s="125" t="s">
        <v>56</v>
      </c>
      <c r="Q16" s="124" t="s">
        <v>214</v>
      </c>
      <c r="R16" s="125" t="s">
        <v>56</v>
      </c>
      <c r="U16" s="125" t="s">
        <v>56</v>
      </c>
      <c r="X16" s="125" t="s">
        <v>56</v>
      </c>
      <c r="Y16" s="125"/>
      <c r="Z16" s="85">
        <v>15</v>
      </c>
      <c r="AE16" s="124"/>
    </row>
    <row r="17" spans="3:26" ht="94.5" customHeight="1" thickBot="1" x14ac:dyDescent="0.35">
      <c r="C17" s="125" t="s">
        <v>56</v>
      </c>
      <c r="D17" s="125"/>
      <c r="F17" s="125" t="s">
        <v>56</v>
      </c>
      <c r="G17" s="125"/>
      <c r="I17" s="125" t="s">
        <v>56</v>
      </c>
      <c r="J17" s="125"/>
      <c r="K17" s="126" t="s">
        <v>226</v>
      </c>
      <c r="L17" s="126" t="s">
        <v>227</v>
      </c>
      <c r="M17" s="125"/>
      <c r="O17" s="125" t="s">
        <v>56</v>
      </c>
      <c r="Q17" s="124"/>
      <c r="R17" s="125" t="s">
        <v>56</v>
      </c>
      <c r="U17" s="125" t="s">
        <v>56</v>
      </c>
      <c r="X17" s="125" t="s">
        <v>56</v>
      </c>
      <c r="Y17" s="125"/>
      <c r="Z17" s="85">
        <v>16</v>
      </c>
    </row>
    <row r="18" spans="3:26" ht="15.75" thickBot="1" x14ac:dyDescent="0.35">
      <c r="C18" s="125" t="s">
        <v>56</v>
      </c>
      <c r="D18" s="125"/>
      <c r="F18" s="125" t="s">
        <v>56</v>
      </c>
      <c r="G18" s="125"/>
      <c r="I18" s="125" t="s">
        <v>56</v>
      </c>
      <c r="J18" s="125"/>
      <c r="K18" s="126" t="s">
        <v>168</v>
      </c>
      <c r="L18" s="126" t="s">
        <v>190</v>
      </c>
      <c r="M18" s="125"/>
      <c r="O18" s="125" t="s">
        <v>56</v>
      </c>
      <c r="Q18" s="124"/>
      <c r="R18" s="125" t="s">
        <v>56</v>
      </c>
      <c r="U18" s="125" t="s">
        <v>56</v>
      </c>
      <c r="X18" s="125" t="s">
        <v>56</v>
      </c>
      <c r="Y18" s="125"/>
      <c r="Z18" s="85">
        <v>17</v>
      </c>
    </row>
    <row r="19" spans="3:26" ht="15.75" thickBot="1" x14ac:dyDescent="0.35">
      <c r="C19" s="125" t="s">
        <v>56</v>
      </c>
      <c r="D19" s="125"/>
      <c r="F19" s="125" t="s">
        <v>56</v>
      </c>
      <c r="G19" s="125"/>
      <c r="I19" s="125" t="s">
        <v>56</v>
      </c>
      <c r="J19" s="125"/>
      <c r="K19" s="126" t="s">
        <v>224</v>
      </c>
      <c r="L19" s="126" t="s">
        <v>225</v>
      </c>
      <c r="M19" s="125"/>
      <c r="O19" s="125" t="s">
        <v>56</v>
      </c>
      <c r="Q19" s="124"/>
      <c r="R19" s="125" t="s">
        <v>56</v>
      </c>
      <c r="U19" s="125" t="s">
        <v>56</v>
      </c>
      <c r="X19" s="125" t="s">
        <v>56</v>
      </c>
      <c r="Y19" s="125"/>
      <c r="Z19" s="85">
        <v>18</v>
      </c>
    </row>
    <row r="20" spans="3:26" ht="68.25" customHeight="1" thickBot="1" x14ac:dyDescent="0.35">
      <c r="C20" s="125" t="s">
        <v>56</v>
      </c>
      <c r="D20" s="125"/>
      <c r="F20" s="125" t="s">
        <v>56</v>
      </c>
      <c r="G20" s="125"/>
      <c r="I20" s="125" t="s">
        <v>56</v>
      </c>
      <c r="J20" s="125"/>
      <c r="K20" s="128" t="s">
        <v>169</v>
      </c>
      <c r="L20" s="128" t="s">
        <v>191</v>
      </c>
      <c r="M20" s="125"/>
      <c r="O20" s="125" t="s">
        <v>56</v>
      </c>
      <c r="Q20" s="129"/>
      <c r="R20" s="125" t="s">
        <v>56</v>
      </c>
      <c r="U20" s="125" t="s">
        <v>56</v>
      </c>
      <c r="X20" s="125" t="s">
        <v>56</v>
      </c>
      <c r="Y20" s="125"/>
      <c r="Z20" s="85">
        <v>19</v>
      </c>
    </row>
    <row r="21" spans="3:26" ht="15.75" thickBot="1" x14ac:dyDescent="0.35">
      <c r="C21" s="125" t="s">
        <v>56</v>
      </c>
      <c r="D21" s="125"/>
      <c r="F21" s="125" t="s">
        <v>56</v>
      </c>
      <c r="G21" s="125"/>
      <c r="I21" s="125" t="s">
        <v>56</v>
      </c>
      <c r="J21" s="125"/>
      <c r="K21" s="126" t="s">
        <v>170</v>
      </c>
      <c r="L21" s="126" t="s">
        <v>192</v>
      </c>
      <c r="M21" s="125"/>
      <c r="O21" s="125" t="s">
        <v>56</v>
      </c>
      <c r="Q21" s="130"/>
      <c r="R21" s="125" t="s">
        <v>56</v>
      </c>
      <c r="U21" s="125" t="s">
        <v>56</v>
      </c>
      <c r="X21" s="125" t="s">
        <v>56</v>
      </c>
      <c r="Y21" s="125"/>
      <c r="Z21" s="85">
        <v>20</v>
      </c>
    </row>
    <row r="22" spans="3:26" ht="15.75" thickBot="1" x14ac:dyDescent="0.35">
      <c r="C22" s="125" t="s">
        <v>56</v>
      </c>
      <c r="D22" s="125"/>
      <c r="F22" s="125" t="s">
        <v>56</v>
      </c>
      <c r="G22" s="125"/>
      <c r="I22" s="125" t="s">
        <v>56</v>
      </c>
      <c r="J22" s="125"/>
      <c r="K22" s="126" t="s">
        <v>171</v>
      </c>
      <c r="L22" s="126" t="s">
        <v>193</v>
      </c>
      <c r="M22" s="125"/>
      <c r="O22" s="125" t="s">
        <v>56</v>
      </c>
      <c r="Q22" s="131"/>
      <c r="R22" s="125" t="s">
        <v>56</v>
      </c>
      <c r="U22" s="125" t="s">
        <v>56</v>
      </c>
      <c r="X22" s="125" t="s">
        <v>56</v>
      </c>
      <c r="Y22" s="125"/>
      <c r="Z22" s="85">
        <v>21</v>
      </c>
    </row>
    <row r="23" spans="3:26" ht="15.75" thickBot="1" x14ac:dyDescent="0.35">
      <c r="C23" s="125" t="s">
        <v>56</v>
      </c>
      <c r="D23" s="125"/>
      <c r="F23" s="125" t="s">
        <v>56</v>
      </c>
      <c r="G23" s="125"/>
      <c r="I23" s="125" t="s">
        <v>56</v>
      </c>
      <c r="J23" s="125"/>
      <c r="K23" s="126" t="s">
        <v>172</v>
      </c>
      <c r="L23" s="126" t="s">
        <v>194</v>
      </c>
      <c r="M23" s="125"/>
      <c r="O23" s="125" t="s">
        <v>56</v>
      </c>
      <c r="R23" s="125" t="s">
        <v>56</v>
      </c>
      <c r="U23" s="125" t="s">
        <v>56</v>
      </c>
      <c r="X23" s="125" t="s">
        <v>56</v>
      </c>
      <c r="Y23" s="125"/>
      <c r="Z23" s="85">
        <v>22</v>
      </c>
    </row>
    <row r="24" spans="3:26" ht="15.75" thickBot="1" x14ac:dyDescent="0.35">
      <c r="C24" s="125" t="s">
        <v>56</v>
      </c>
      <c r="D24" s="125"/>
      <c r="F24" s="125" t="s">
        <v>56</v>
      </c>
      <c r="G24" s="125"/>
      <c r="I24" s="125" t="s">
        <v>56</v>
      </c>
      <c r="J24" s="125"/>
      <c r="K24" s="126" t="s">
        <v>173</v>
      </c>
      <c r="L24" s="126" t="s">
        <v>195</v>
      </c>
      <c r="M24" s="125"/>
      <c r="O24" s="125" t="s">
        <v>56</v>
      </c>
      <c r="R24" s="125" t="s">
        <v>56</v>
      </c>
      <c r="U24" s="125" t="s">
        <v>56</v>
      </c>
      <c r="X24" s="125" t="s">
        <v>56</v>
      </c>
      <c r="Y24" s="125"/>
      <c r="Z24" s="85">
        <v>23</v>
      </c>
    </row>
    <row r="25" spans="3:26" ht="15.75" thickBot="1" x14ac:dyDescent="0.35">
      <c r="C25" s="125" t="s">
        <v>56</v>
      </c>
      <c r="D25" s="125"/>
      <c r="F25" s="125" t="s">
        <v>56</v>
      </c>
      <c r="G25" s="125"/>
      <c r="I25" s="125" t="s">
        <v>56</v>
      </c>
      <c r="J25" s="125"/>
      <c r="K25" s="126" t="s">
        <v>174</v>
      </c>
      <c r="L25" s="126" t="s">
        <v>155</v>
      </c>
      <c r="M25" s="125"/>
      <c r="O25" s="125" t="s">
        <v>56</v>
      </c>
      <c r="R25" s="125" t="s">
        <v>56</v>
      </c>
      <c r="U25" s="125" t="s">
        <v>56</v>
      </c>
      <c r="X25" s="125" t="s">
        <v>56</v>
      </c>
      <c r="Y25" s="125"/>
      <c r="Z25" s="85">
        <v>24</v>
      </c>
    </row>
    <row r="26" spans="3:26" ht="15.75" thickBot="1" x14ac:dyDescent="0.35">
      <c r="C26" s="125" t="s">
        <v>56</v>
      </c>
      <c r="D26" s="125"/>
      <c r="F26" s="125" t="s">
        <v>56</v>
      </c>
      <c r="G26" s="125"/>
      <c r="I26" s="125" t="s">
        <v>56</v>
      </c>
      <c r="J26" s="125"/>
      <c r="K26" s="126" t="s">
        <v>175</v>
      </c>
      <c r="L26" s="126" t="s">
        <v>196</v>
      </c>
      <c r="M26" s="125"/>
      <c r="O26" s="125" t="s">
        <v>56</v>
      </c>
      <c r="R26" s="125" t="s">
        <v>56</v>
      </c>
      <c r="U26" s="125" t="s">
        <v>56</v>
      </c>
      <c r="X26" s="125" t="s">
        <v>56</v>
      </c>
      <c r="Y26" s="125"/>
      <c r="Z26" s="85">
        <v>25</v>
      </c>
    </row>
    <row r="27" spans="3:26" ht="15.75" thickBot="1" x14ac:dyDescent="0.35">
      <c r="C27" s="125" t="s">
        <v>56</v>
      </c>
      <c r="D27" s="125"/>
      <c r="F27" s="125" t="s">
        <v>56</v>
      </c>
      <c r="G27" s="125"/>
      <c r="I27" s="125" t="s">
        <v>56</v>
      </c>
      <c r="J27" s="125"/>
      <c r="K27" s="126" t="s">
        <v>176</v>
      </c>
      <c r="L27" s="126" t="s">
        <v>197</v>
      </c>
      <c r="M27" s="125"/>
      <c r="O27" s="125" t="s">
        <v>56</v>
      </c>
      <c r="R27" s="125" t="s">
        <v>56</v>
      </c>
      <c r="U27" s="125" t="s">
        <v>56</v>
      </c>
      <c r="X27" s="125" t="s">
        <v>56</v>
      </c>
      <c r="Y27" s="125"/>
      <c r="Z27" s="85">
        <v>26</v>
      </c>
    </row>
    <row r="28" spans="3:26" ht="15.75" thickBot="1" x14ac:dyDescent="0.35">
      <c r="C28" s="125" t="s">
        <v>56</v>
      </c>
      <c r="D28" s="125"/>
      <c r="F28" s="125" t="s">
        <v>56</v>
      </c>
      <c r="G28" s="125"/>
      <c r="I28" s="125" t="s">
        <v>56</v>
      </c>
      <c r="J28" s="125"/>
      <c r="K28" s="126" t="s">
        <v>177</v>
      </c>
      <c r="L28" s="126" t="s">
        <v>198</v>
      </c>
      <c r="M28" s="125"/>
      <c r="O28" s="125" t="s">
        <v>56</v>
      </c>
      <c r="R28" s="125" t="s">
        <v>56</v>
      </c>
      <c r="U28" s="125" t="s">
        <v>56</v>
      </c>
      <c r="X28" s="125" t="s">
        <v>56</v>
      </c>
      <c r="Y28" s="125"/>
      <c r="Z28" s="85">
        <v>27</v>
      </c>
    </row>
    <row r="29" spans="3:26" x14ac:dyDescent="0.3">
      <c r="C29" s="125" t="s">
        <v>56</v>
      </c>
      <c r="D29" s="125"/>
      <c r="F29" s="125" t="s">
        <v>56</v>
      </c>
      <c r="G29" s="125"/>
      <c r="I29" s="125" t="s">
        <v>56</v>
      </c>
      <c r="J29" s="125"/>
      <c r="L29" s="132"/>
      <c r="M29" s="125"/>
      <c r="O29" s="125" t="s">
        <v>56</v>
      </c>
      <c r="R29" s="125" t="s">
        <v>56</v>
      </c>
      <c r="U29" s="125" t="s">
        <v>56</v>
      </c>
      <c r="X29" s="125" t="s">
        <v>56</v>
      </c>
      <c r="Y29" s="125"/>
      <c r="Z29" s="85">
        <v>28</v>
      </c>
    </row>
    <row r="30" spans="3:26" x14ac:dyDescent="0.3">
      <c r="C30" s="125" t="s">
        <v>56</v>
      </c>
      <c r="D30" s="125"/>
      <c r="F30" s="125" t="s">
        <v>56</v>
      </c>
      <c r="G30" s="125"/>
      <c r="I30" s="125" t="s">
        <v>56</v>
      </c>
      <c r="J30" s="125"/>
      <c r="L30" s="132"/>
      <c r="M30" s="125"/>
      <c r="O30" s="125" t="s">
        <v>56</v>
      </c>
      <c r="R30" s="125" t="s">
        <v>56</v>
      </c>
      <c r="U30" s="125" t="s">
        <v>56</v>
      </c>
      <c r="X30" s="125" t="s">
        <v>56</v>
      </c>
      <c r="Y30" s="125"/>
      <c r="Z30" s="85">
        <v>29</v>
      </c>
    </row>
    <row r="31" spans="3:26" x14ac:dyDescent="0.3">
      <c r="C31" s="125" t="s">
        <v>56</v>
      </c>
      <c r="D31" s="125"/>
      <c r="F31" s="125" t="s">
        <v>56</v>
      </c>
      <c r="G31" s="125"/>
      <c r="I31" s="125" t="s">
        <v>56</v>
      </c>
      <c r="J31" s="125"/>
      <c r="L31" s="132"/>
      <c r="M31" s="125"/>
      <c r="O31" s="125" t="s">
        <v>56</v>
      </c>
      <c r="R31" s="125" t="s">
        <v>56</v>
      </c>
      <c r="U31" s="125" t="s">
        <v>56</v>
      </c>
      <c r="X31" s="125" t="s">
        <v>56</v>
      </c>
      <c r="Y31" s="125"/>
      <c r="Z31" s="85">
        <v>30</v>
      </c>
    </row>
    <row r="32" spans="3:26" x14ac:dyDescent="0.3">
      <c r="C32" s="125" t="s">
        <v>56</v>
      </c>
      <c r="D32" s="125"/>
      <c r="F32" s="125" t="s">
        <v>56</v>
      </c>
      <c r="G32" s="125"/>
      <c r="I32" s="125" t="s">
        <v>56</v>
      </c>
      <c r="J32" s="125"/>
      <c r="L32" s="132"/>
      <c r="M32" s="125"/>
      <c r="O32" s="125" t="s">
        <v>56</v>
      </c>
      <c r="R32" s="125" t="s">
        <v>56</v>
      </c>
      <c r="U32" s="125" t="s">
        <v>56</v>
      </c>
      <c r="X32" s="125" t="s">
        <v>56</v>
      </c>
      <c r="Y32" s="125"/>
      <c r="Z32" s="85">
        <v>31</v>
      </c>
    </row>
    <row r="33" spans="3:26" x14ac:dyDescent="0.3">
      <c r="C33" s="125" t="s">
        <v>56</v>
      </c>
      <c r="D33" s="125"/>
      <c r="F33" s="125" t="s">
        <v>56</v>
      </c>
      <c r="G33" s="125"/>
      <c r="I33" s="125" t="s">
        <v>56</v>
      </c>
      <c r="J33" s="125"/>
      <c r="L33" s="132"/>
      <c r="M33" s="125"/>
      <c r="O33" s="125" t="s">
        <v>56</v>
      </c>
      <c r="R33" s="125" t="s">
        <v>56</v>
      </c>
      <c r="U33" s="125" t="s">
        <v>56</v>
      </c>
      <c r="X33" s="125" t="s">
        <v>56</v>
      </c>
      <c r="Y33" s="125"/>
      <c r="Z33" s="85">
        <v>32</v>
      </c>
    </row>
    <row r="34" spans="3:26" x14ac:dyDescent="0.3">
      <c r="C34" s="125" t="s">
        <v>56</v>
      </c>
      <c r="D34" s="125"/>
      <c r="F34" s="125" t="s">
        <v>56</v>
      </c>
      <c r="G34" s="125"/>
      <c r="I34" s="125" t="s">
        <v>56</v>
      </c>
      <c r="J34" s="125"/>
      <c r="L34" s="132"/>
      <c r="M34" s="125"/>
      <c r="O34" s="125" t="s">
        <v>56</v>
      </c>
      <c r="R34" s="125" t="s">
        <v>56</v>
      </c>
      <c r="U34" s="125" t="s">
        <v>56</v>
      </c>
      <c r="X34" s="125" t="s">
        <v>56</v>
      </c>
      <c r="Y34" s="125"/>
      <c r="Z34" s="85">
        <v>33</v>
      </c>
    </row>
    <row r="35" spans="3:26" x14ac:dyDescent="0.3">
      <c r="C35" s="125" t="s">
        <v>56</v>
      </c>
      <c r="D35" s="125"/>
      <c r="F35" s="125" t="s">
        <v>56</v>
      </c>
      <c r="G35" s="125"/>
      <c r="I35" s="125" t="s">
        <v>56</v>
      </c>
      <c r="J35" s="125"/>
      <c r="L35" s="132"/>
      <c r="M35" s="125"/>
      <c r="O35" s="125" t="s">
        <v>56</v>
      </c>
      <c r="R35" s="125" t="s">
        <v>56</v>
      </c>
      <c r="U35" s="125" t="s">
        <v>56</v>
      </c>
      <c r="X35" s="125" t="s">
        <v>56</v>
      </c>
      <c r="Y35" s="125"/>
      <c r="Z35" s="85">
        <v>34</v>
      </c>
    </row>
    <row r="36" spans="3:26" x14ac:dyDescent="0.3">
      <c r="C36" s="125" t="s">
        <v>56</v>
      </c>
      <c r="D36" s="125"/>
      <c r="F36" s="125" t="s">
        <v>56</v>
      </c>
      <c r="G36" s="125"/>
      <c r="I36" s="125" t="s">
        <v>56</v>
      </c>
      <c r="J36" s="125"/>
      <c r="L36" s="132" t="s">
        <v>56</v>
      </c>
      <c r="M36" s="125"/>
      <c r="O36" s="125" t="s">
        <v>56</v>
      </c>
      <c r="R36" s="125" t="s">
        <v>56</v>
      </c>
      <c r="U36" s="125" t="s">
        <v>56</v>
      </c>
      <c r="X36" s="125" t="s">
        <v>56</v>
      </c>
      <c r="Y36" s="125"/>
      <c r="Z36" s="85">
        <v>35</v>
      </c>
    </row>
    <row r="37" spans="3:26" x14ac:dyDescent="0.3">
      <c r="C37" s="125" t="s">
        <v>56</v>
      </c>
      <c r="D37" s="125"/>
      <c r="F37" s="125" t="s">
        <v>56</v>
      </c>
      <c r="G37" s="125"/>
      <c r="I37" s="125" t="s">
        <v>56</v>
      </c>
      <c r="J37" s="125"/>
      <c r="L37" s="132" t="s">
        <v>56</v>
      </c>
      <c r="M37" s="125"/>
      <c r="O37" s="125" t="s">
        <v>56</v>
      </c>
      <c r="R37" s="125" t="s">
        <v>56</v>
      </c>
      <c r="U37" s="125" t="s">
        <v>56</v>
      </c>
      <c r="X37" s="125" t="s">
        <v>56</v>
      </c>
      <c r="Y37" s="125"/>
      <c r="Z37" s="85">
        <v>36</v>
      </c>
    </row>
    <row r="38" spans="3:26" x14ac:dyDescent="0.3">
      <c r="C38" s="125" t="s">
        <v>56</v>
      </c>
      <c r="D38" s="125"/>
      <c r="F38" s="125" t="s">
        <v>56</v>
      </c>
      <c r="G38" s="125"/>
      <c r="I38" s="125" t="s">
        <v>56</v>
      </c>
      <c r="J38" s="125"/>
      <c r="L38" s="132" t="s">
        <v>56</v>
      </c>
      <c r="M38" s="125"/>
      <c r="O38" s="125" t="s">
        <v>56</v>
      </c>
      <c r="R38" s="125" t="s">
        <v>56</v>
      </c>
      <c r="U38" s="125" t="s">
        <v>56</v>
      </c>
      <c r="X38" s="125" t="s">
        <v>56</v>
      </c>
      <c r="Y38" s="125"/>
      <c r="Z38" s="85">
        <v>37</v>
      </c>
    </row>
    <row r="39" spans="3:26" x14ac:dyDescent="0.3">
      <c r="C39" s="125" t="s">
        <v>56</v>
      </c>
      <c r="D39" s="125"/>
      <c r="F39" s="125" t="s">
        <v>56</v>
      </c>
      <c r="G39" s="125"/>
      <c r="I39" s="125" t="s">
        <v>56</v>
      </c>
      <c r="J39" s="125"/>
      <c r="L39" s="132" t="s">
        <v>56</v>
      </c>
      <c r="M39" s="125"/>
      <c r="O39" s="125" t="s">
        <v>56</v>
      </c>
      <c r="R39" s="125" t="s">
        <v>56</v>
      </c>
      <c r="U39" s="125" t="s">
        <v>56</v>
      </c>
      <c r="X39" s="125" t="s">
        <v>56</v>
      </c>
      <c r="Y39" s="125"/>
      <c r="Z39" s="85">
        <v>38</v>
      </c>
    </row>
    <row r="40" spans="3:26" x14ac:dyDescent="0.3">
      <c r="C40" s="125" t="s">
        <v>56</v>
      </c>
      <c r="D40" s="125"/>
      <c r="F40" s="125" t="s">
        <v>56</v>
      </c>
      <c r="G40" s="125"/>
      <c r="I40" s="125" t="s">
        <v>56</v>
      </c>
      <c r="J40" s="125"/>
      <c r="L40" s="132" t="s">
        <v>56</v>
      </c>
      <c r="M40" s="125"/>
      <c r="O40" s="125" t="s">
        <v>56</v>
      </c>
      <c r="R40" s="125" t="s">
        <v>56</v>
      </c>
      <c r="U40" s="125" t="s">
        <v>56</v>
      </c>
      <c r="X40" s="125" t="s">
        <v>56</v>
      </c>
      <c r="Y40" s="125"/>
      <c r="Z40" s="85">
        <v>39</v>
      </c>
    </row>
    <row r="41" spans="3:26" x14ac:dyDescent="0.3">
      <c r="C41" s="125" t="s">
        <v>56</v>
      </c>
      <c r="D41" s="125"/>
      <c r="F41" s="125" t="s">
        <v>56</v>
      </c>
      <c r="G41" s="125"/>
      <c r="I41" s="125" t="s">
        <v>56</v>
      </c>
      <c r="J41" s="125"/>
      <c r="L41" s="132" t="s">
        <v>56</v>
      </c>
      <c r="M41" s="125"/>
      <c r="O41" s="125" t="s">
        <v>56</v>
      </c>
      <c r="R41" s="125" t="s">
        <v>56</v>
      </c>
      <c r="U41" s="125" t="s">
        <v>56</v>
      </c>
      <c r="X41" s="125" t="s">
        <v>56</v>
      </c>
      <c r="Y41" s="125"/>
      <c r="Z41" s="85">
        <v>40</v>
      </c>
    </row>
    <row r="42" spans="3:26" x14ac:dyDescent="0.3">
      <c r="C42" s="125" t="s">
        <v>56</v>
      </c>
      <c r="D42" s="125"/>
      <c r="F42" s="125" t="s">
        <v>56</v>
      </c>
      <c r="G42" s="125"/>
      <c r="I42" s="125" t="s">
        <v>56</v>
      </c>
      <c r="J42" s="125"/>
      <c r="L42" s="132" t="s">
        <v>56</v>
      </c>
      <c r="M42" s="125"/>
      <c r="O42" s="125" t="s">
        <v>56</v>
      </c>
      <c r="R42" s="125" t="s">
        <v>56</v>
      </c>
      <c r="U42" s="125" t="s">
        <v>56</v>
      </c>
      <c r="X42" s="125" t="s">
        <v>56</v>
      </c>
      <c r="Y42" s="125"/>
      <c r="Z42" s="85">
        <v>41</v>
      </c>
    </row>
    <row r="43" spans="3:26" x14ac:dyDescent="0.3">
      <c r="C43" s="125" t="s">
        <v>56</v>
      </c>
      <c r="D43" s="125"/>
      <c r="F43" s="125" t="s">
        <v>56</v>
      </c>
      <c r="G43" s="125"/>
      <c r="I43" s="125" t="s">
        <v>56</v>
      </c>
      <c r="J43" s="125"/>
      <c r="L43" s="132" t="s">
        <v>56</v>
      </c>
      <c r="M43" s="125"/>
      <c r="O43" s="125" t="s">
        <v>56</v>
      </c>
      <c r="R43" s="125" t="s">
        <v>56</v>
      </c>
      <c r="U43" s="125" t="s">
        <v>56</v>
      </c>
      <c r="X43" s="125" t="s">
        <v>56</v>
      </c>
      <c r="Y43" s="125"/>
      <c r="Z43" s="85">
        <v>42</v>
      </c>
    </row>
    <row r="44" spans="3:26" x14ac:dyDescent="0.3">
      <c r="C44" s="125" t="s">
        <v>56</v>
      </c>
      <c r="D44" s="125"/>
      <c r="F44" s="125" t="s">
        <v>56</v>
      </c>
      <c r="G44" s="125"/>
      <c r="I44" s="125" t="s">
        <v>56</v>
      </c>
      <c r="J44" s="125"/>
      <c r="L44" s="132" t="s">
        <v>56</v>
      </c>
      <c r="M44" s="125"/>
      <c r="O44" s="125" t="s">
        <v>56</v>
      </c>
      <c r="R44" s="125" t="s">
        <v>56</v>
      </c>
      <c r="U44" s="125" t="s">
        <v>56</v>
      </c>
      <c r="X44" s="125" t="s">
        <v>56</v>
      </c>
      <c r="Y44" s="125"/>
      <c r="Z44" s="85">
        <v>43</v>
      </c>
    </row>
    <row r="45" spans="3:26" x14ac:dyDescent="0.3">
      <c r="C45" s="125" t="s">
        <v>56</v>
      </c>
      <c r="D45" s="125"/>
      <c r="F45" s="125" t="s">
        <v>56</v>
      </c>
      <c r="G45" s="125"/>
      <c r="I45" s="125" t="s">
        <v>56</v>
      </c>
      <c r="J45" s="125"/>
      <c r="L45" s="132" t="s">
        <v>56</v>
      </c>
      <c r="M45" s="125"/>
      <c r="O45" s="125" t="s">
        <v>56</v>
      </c>
      <c r="R45" s="125" t="s">
        <v>56</v>
      </c>
      <c r="U45" s="125" t="s">
        <v>56</v>
      </c>
      <c r="X45" s="125" t="s">
        <v>56</v>
      </c>
      <c r="Y45" s="125"/>
      <c r="Z45" s="85">
        <v>44</v>
      </c>
    </row>
    <row r="46" spans="3:26" x14ac:dyDescent="0.3">
      <c r="C46" s="125" t="s">
        <v>56</v>
      </c>
      <c r="D46" s="125"/>
      <c r="F46" s="125" t="s">
        <v>56</v>
      </c>
      <c r="G46" s="125"/>
      <c r="I46" s="125" t="s">
        <v>56</v>
      </c>
      <c r="J46" s="125"/>
      <c r="L46" s="132" t="s">
        <v>56</v>
      </c>
      <c r="M46" s="125"/>
      <c r="O46" s="125" t="s">
        <v>56</v>
      </c>
      <c r="R46" s="125" t="s">
        <v>56</v>
      </c>
      <c r="U46" s="125" t="s">
        <v>56</v>
      </c>
      <c r="X46" s="125" t="s">
        <v>56</v>
      </c>
      <c r="Y46" s="125"/>
      <c r="Z46" s="85">
        <v>45</v>
      </c>
    </row>
    <row r="47" spans="3:26" x14ac:dyDescent="0.3">
      <c r="C47" s="125" t="s">
        <v>56</v>
      </c>
      <c r="D47" s="125"/>
      <c r="F47" s="125" t="s">
        <v>56</v>
      </c>
      <c r="G47" s="125"/>
      <c r="I47" s="125" t="s">
        <v>56</v>
      </c>
      <c r="J47" s="125"/>
      <c r="L47" s="132" t="s">
        <v>56</v>
      </c>
      <c r="M47" s="125"/>
      <c r="O47" s="125" t="s">
        <v>56</v>
      </c>
      <c r="R47" s="125" t="s">
        <v>56</v>
      </c>
      <c r="U47" s="125" t="s">
        <v>56</v>
      </c>
      <c r="X47" s="125" t="s">
        <v>56</v>
      </c>
      <c r="Y47" s="125"/>
      <c r="Z47" s="85">
        <v>46</v>
      </c>
    </row>
    <row r="48" spans="3:26" x14ac:dyDescent="0.3">
      <c r="C48" s="125" t="s">
        <v>56</v>
      </c>
      <c r="D48" s="125"/>
      <c r="F48" s="125" t="s">
        <v>56</v>
      </c>
      <c r="G48" s="125"/>
      <c r="I48" s="125" t="s">
        <v>56</v>
      </c>
      <c r="J48" s="125"/>
      <c r="L48" s="132" t="s">
        <v>56</v>
      </c>
      <c r="M48" s="125"/>
      <c r="O48" s="125" t="s">
        <v>56</v>
      </c>
      <c r="R48" s="125" t="s">
        <v>56</v>
      </c>
      <c r="U48" s="125" t="s">
        <v>56</v>
      </c>
      <c r="X48" s="125" t="s">
        <v>56</v>
      </c>
      <c r="Y48" s="125"/>
      <c r="Z48" s="85">
        <v>47</v>
      </c>
    </row>
    <row r="49" spans="3:26" x14ac:dyDescent="0.3">
      <c r="C49" s="125" t="s">
        <v>56</v>
      </c>
      <c r="D49" s="125"/>
      <c r="F49" s="125" t="s">
        <v>56</v>
      </c>
      <c r="G49" s="125"/>
      <c r="I49" s="125" t="s">
        <v>56</v>
      </c>
      <c r="J49" s="125"/>
      <c r="L49" s="132" t="s">
        <v>56</v>
      </c>
      <c r="M49" s="125"/>
      <c r="O49" s="125" t="s">
        <v>56</v>
      </c>
      <c r="R49" s="125" t="s">
        <v>56</v>
      </c>
      <c r="U49" s="125" t="s">
        <v>56</v>
      </c>
      <c r="X49" s="125" t="s">
        <v>56</v>
      </c>
      <c r="Y49" s="125"/>
      <c r="Z49" s="85">
        <v>48</v>
      </c>
    </row>
    <row r="50" spans="3:26" x14ac:dyDescent="0.3">
      <c r="C50" s="125" t="s">
        <v>56</v>
      </c>
      <c r="D50" s="125"/>
      <c r="F50" s="125" t="s">
        <v>56</v>
      </c>
      <c r="G50" s="125"/>
      <c r="I50" s="125" t="s">
        <v>56</v>
      </c>
      <c r="J50" s="125"/>
      <c r="L50" s="132" t="s">
        <v>56</v>
      </c>
      <c r="M50" s="125"/>
      <c r="O50" s="125" t="s">
        <v>56</v>
      </c>
      <c r="R50" s="125" t="s">
        <v>56</v>
      </c>
      <c r="U50" s="125" t="s">
        <v>56</v>
      </c>
      <c r="X50" s="125" t="s">
        <v>56</v>
      </c>
      <c r="Y50" s="125"/>
      <c r="Z50" s="85">
        <v>49</v>
      </c>
    </row>
    <row r="51" spans="3:26" x14ac:dyDescent="0.3">
      <c r="R51" s="125" t="s">
        <v>56</v>
      </c>
      <c r="Z51" s="85">
        <v>50</v>
      </c>
    </row>
    <row r="52" spans="3:26" x14ac:dyDescent="0.3">
      <c r="R52" s="125" t="s">
        <v>56</v>
      </c>
    </row>
    <row r="53" spans="3:26" x14ac:dyDescent="0.3">
      <c r="R53" s="125" t="s">
        <v>56</v>
      </c>
    </row>
    <row r="54" spans="3:26" x14ac:dyDescent="0.3">
      <c r="R54" s="125" t="s">
        <v>56</v>
      </c>
    </row>
    <row r="55" spans="3:26" x14ac:dyDescent="0.3">
      <c r="R55" s="125" t="s">
        <v>56</v>
      </c>
    </row>
    <row r="56" spans="3:26" x14ac:dyDescent="0.3">
      <c r="R56" s="125" t="s">
        <v>56</v>
      </c>
    </row>
    <row r="57" spans="3:26" x14ac:dyDescent="0.3">
      <c r="R57" s="125" t="s">
        <v>56</v>
      </c>
    </row>
    <row r="58" spans="3:26" x14ac:dyDescent="0.3">
      <c r="R58" s="125" t="s">
        <v>56</v>
      </c>
    </row>
    <row r="59" spans="3:26" x14ac:dyDescent="0.3">
      <c r="R59" s="125" t="s">
        <v>56</v>
      </c>
    </row>
    <row r="60" spans="3:26" x14ac:dyDescent="0.3">
      <c r="R60" s="125" t="s">
        <v>56</v>
      </c>
    </row>
    <row r="61" spans="3:26" x14ac:dyDescent="0.3">
      <c r="R61" s="125" t="s">
        <v>56</v>
      </c>
    </row>
    <row r="62" spans="3:26" x14ac:dyDescent="0.3">
      <c r="R62" s="125" t="s">
        <v>56</v>
      </c>
    </row>
    <row r="63" spans="3:26" x14ac:dyDescent="0.3">
      <c r="R63" s="125" t="s">
        <v>56</v>
      </c>
    </row>
    <row r="64" spans="3:26" x14ac:dyDescent="0.3">
      <c r="R64" s="125" t="s">
        <v>56</v>
      </c>
    </row>
    <row r="65" spans="18:18" x14ac:dyDescent="0.3">
      <c r="R65" s="125" t="s">
        <v>56</v>
      </c>
    </row>
    <row r="66" spans="18:18" x14ac:dyDescent="0.3">
      <c r="R66" s="125" t="s">
        <v>56</v>
      </c>
    </row>
    <row r="67" spans="18:18" x14ac:dyDescent="0.3">
      <c r="R67" s="125" t="s">
        <v>56</v>
      </c>
    </row>
    <row r="68" spans="18:18" x14ac:dyDescent="0.3">
      <c r="R68" s="125" t="s">
        <v>56</v>
      </c>
    </row>
    <row r="69" spans="18:18" x14ac:dyDescent="0.3">
      <c r="R69" s="125" t="s">
        <v>56</v>
      </c>
    </row>
    <row r="70" spans="18:18" x14ac:dyDescent="0.3">
      <c r="R70" s="125" t="s">
        <v>56</v>
      </c>
    </row>
    <row r="71" spans="18:18" x14ac:dyDescent="0.3">
      <c r="R71" s="125" t="s">
        <v>56</v>
      </c>
    </row>
    <row r="72" spans="18:18" x14ac:dyDescent="0.3">
      <c r="R72" s="125" t="s">
        <v>56</v>
      </c>
    </row>
    <row r="73" spans="18:18" x14ac:dyDescent="0.3">
      <c r="R73" s="125" t="s">
        <v>56</v>
      </c>
    </row>
    <row r="74" spans="18:18" x14ac:dyDescent="0.3">
      <c r="R74" s="125" t="s">
        <v>56</v>
      </c>
    </row>
    <row r="75" spans="18:18" x14ac:dyDescent="0.3">
      <c r="R75" s="125" t="s">
        <v>56</v>
      </c>
    </row>
    <row r="76" spans="18:18" x14ac:dyDescent="0.3">
      <c r="R76" s="125" t="s">
        <v>56</v>
      </c>
    </row>
    <row r="77" spans="18:18" x14ac:dyDescent="0.3">
      <c r="R77" s="125" t="s">
        <v>56</v>
      </c>
    </row>
    <row r="78" spans="18:18" x14ac:dyDescent="0.3">
      <c r="R78" s="125" t="s">
        <v>56</v>
      </c>
    </row>
    <row r="79" spans="18:18" x14ac:dyDescent="0.3">
      <c r="R79" s="125" t="s">
        <v>56</v>
      </c>
    </row>
    <row r="80" spans="18:18" x14ac:dyDescent="0.3">
      <c r="R80" s="125" t="s">
        <v>56</v>
      </c>
    </row>
    <row r="81" spans="18:18" x14ac:dyDescent="0.3">
      <c r="R81" s="125" t="s">
        <v>56</v>
      </c>
    </row>
    <row r="82" spans="18:18" x14ac:dyDescent="0.3">
      <c r="R82" s="125" t="s">
        <v>56</v>
      </c>
    </row>
    <row r="83" spans="18:18" x14ac:dyDescent="0.3">
      <c r="R83" s="125" t="s">
        <v>56</v>
      </c>
    </row>
    <row r="84" spans="18:18" x14ac:dyDescent="0.3">
      <c r="R84" s="125" t="s">
        <v>56</v>
      </c>
    </row>
    <row r="85" spans="18:18" x14ac:dyDescent="0.3">
      <c r="R85" s="125" t="s">
        <v>56</v>
      </c>
    </row>
  </sheetData>
  <sortState xmlns:xlrd2="http://schemas.microsoft.com/office/spreadsheetml/2017/richdata2" ref="Q2:R85">
    <sortCondition descending="1" ref="R2:R85"/>
    <sortCondition ref="Q2:Q85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 tint="0.499984740745262"/>
  </sheetPr>
  <dimension ref="A1:Y10"/>
  <sheetViews>
    <sheetView zoomScale="90" zoomScaleNormal="90" workbookViewId="0">
      <selection activeCell="AA1" sqref="AA1"/>
    </sheetView>
  </sheetViews>
  <sheetFormatPr defaultColWidth="11.42578125" defaultRowHeight="15" x14ac:dyDescent="0.25"/>
  <cols>
    <col min="1" max="1" width="8.85546875" style="71" bestFit="1" customWidth="1"/>
    <col min="2" max="2" width="17.42578125" style="71" customWidth="1"/>
    <col min="3" max="3" width="8.28515625" style="71" bestFit="1" customWidth="1"/>
    <col min="4" max="4" width="11.140625" style="71" bestFit="1" customWidth="1"/>
    <col min="5" max="5" width="8.85546875" style="71" bestFit="1" customWidth="1"/>
    <col min="6" max="7" width="11.42578125" style="71"/>
    <col min="8" max="8" width="26" style="71" bestFit="1" customWidth="1"/>
    <col min="9" max="9" width="9.5703125" style="71" bestFit="1" customWidth="1"/>
    <col min="10" max="10" width="13.5703125" style="71" bestFit="1" customWidth="1"/>
    <col min="11" max="11" width="9.5703125" style="71" bestFit="1" customWidth="1"/>
    <col min="12" max="12" width="15.7109375" style="71" bestFit="1" customWidth="1"/>
    <col min="13" max="13" width="9.5703125" style="71" bestFit="1" customWidth="1"/>
    <col min="14" max="14" width="15.85546875" style="71" bestFit="1" customWidth="1"/>
    <col min="15" max="15" width="9.5703125" style="71" bestFit="1" customWidth="1"/>
    <col min="16" max="16" width="4" style="71" bestFit="1" customWidth="1"/>
    <col min="17" max="17" width="16.140625" style="71" customWidth="1"/>
    <col min="18" max="18" width="4" style="71" bestFit="1" customWidth="1"/>
    <col min="19" max="19" width="9.140625" style="71" bestFit="1" customWidth="1"/>
    <col min="20" max="20" width="4" style="71" bestFit="1" customWidth="1"/>
    <col min="21" max="21" width="11.42578125" style="71" customWidth="1"/>
    <col min="22" max="22" width="4" style="71" bestFit="1" customWidth="1"/>
    <col min="23" max="23" width="11.140625" style="71" customWidth="1"/>
    <col min="24" max="24" width="4" style="71" bestFit="1" customWidth="1"/>
    <col min="25" max="25" width="13.28515625" style="71" customWidth="1"/>
    <col min="26" max="16384" width="11.42578125" style="71"/>
  </cols>
  <sheetData>
    <row r="1" spans="1:25" ht="56.25" customHeight="1" x14ac:dyDescent="0.25">
      <c r="A1" s="405" t="s">
        <v>62</v>
      </c>
      <c r="B1" s="405"/>
      <c r="C1" s="135"/>
      <c r="D1" s="406" t="s">
        <v>63</v>
      </c>
      <c r="E1" s="407"/>
      <c r="H1" s="408" t="s">
        <v>27</v>
      </c>
      <c r="I1" s="404"/>
      <c r="J1" s="408" t="s">
        <v>24</v>
      </c>
      <c r="K1" s="403"/>
      <c r="L1" s="409" t="s">
        <v>26</v>
      </c>
      <c r="M1" s="410"/>
      <c r="N1" s="403" t="s">
        <v>28</v>
      </c>
      <c r="O1" s="404"/>
      <c r="P1" s="411" t="s">
        <v>19</v>
      </c>
      <c r="Q1" s="412"/>
      <c r="R1" s="408" t="s">
        <v>25</v>
      </c>
      <c r="S1" s="404"/>
      <c r="T1" s="408" t="s">
        <v>30</v>
      </c>
      <c r="U1" s="404"/>
      <c r="V1" s="408" t="s">
        <v>20</v>
      </c>
      <c r="W1" s="404"/>
      <c r="X1" s="408" t="s">
        <v>29</v>
      </c>
      <c r="Y1" s="404"/>
    </row>
    <row r="2" spans="1:25" ht="31.5" x14ac:dyDescent="0.25">
      <c r="A2" s="136" t="s">
        <v>64</v>
      </c>
      <c r="B2" s="136" t="s">
        <v>65</v>
      </c>
      <c r="C2" s="137"/>
      <c r="D2" s="136" t="s">
        <v>66</v>
      </c>
      <c r="E2" s="136" t="s">
        <v>64</v>
      </c>
      <c r="H2" s="138" t="s">
        <v>123</v>
      </c>
      <c r="I2" s="139">
        <f>100^(1/4)</f>
        <v>3.1622776601683795</v>
      </c>
      <c r="J2" s="138" t="s">
        <v>69</v>
      </c>
      <c r="K2" s="140">
        <f>100^(1/4)</f>
        <v>3.1622776601683795</v>
      </c>
      <c r="L2" s="138" t="s">
        <v>71</v>
      </c>
      <c r="M2" s="139">
        <f>100^(1/4)</f>
        <v>3.1622776601683795</v>
      </c>
      <c r="N2" s="141" t="s">
        <v>73</v>
      </c>
      <c r="O2" s="139">
        <f>100^(1/4)</f>
        <v>3.1622776601683795</v>
      </c>
      <c r="P2" s="142" t="s">
        <v>75</v>
      </c>
      <c r="Q2" s="143">
        <v>0</v>
      </c>
      <c r="R2" s="142" t="s">
        <v>75</v>
      </c>
      <c r="S2" s="144">
        <v>0</v>
      </c>
      <c r="T2" s="142" t="s">
        <v>75</v>
      </c>
      <c r="U2" s="144">
        <v>0</v>
      </c>
      <c r="V2" s="142" t="s">
        <v>75</v>
      </c>
      <c r="W2" s="144">
        <v>0</v>
      </c>
      <c r="X2" s="142" t="s">
        <v>75</v>
      </c>
      <c r="Y2" s="144">
        <v>0</v>
      </c>
    </row>
    <row r="3" spans="1:25" ht="16.5" thickBot="1" x14ac:dyDescent="0.3">
      <c r="A3" s="145">
        <v>1</v>
      </c>
      <c r="B3" s="146" t="s">
        <v>10</v>
      </c>
      <c r="C3" s="137"/>
      <c r="D3" s="145">
        <v>1</v>
      </c>
      <c r="E3" s="146" t="s">
        <v>10</v>
      </c>
      <c r="H3" s="138" t="s">
        <v>124</v>
      </c>
      <c r="I3" s="139">
        <f>60^(1/4)</f>
        <v>2.7831576837137404</v>
      </c>
      <c r="J3" s="147" t="s">
        <v>70</v>
      </c>
      <c r="K3" s="148">
        <v>0</v>
      </c>
      <c r="L3" s="138" t="s">
        <v>99</v>
      </c>
      <c r="M3" s="139">
        <f>60^(1/4)</f>
        <v>2.7831576837137404</v>
      </c>
      <c r="N3" s="149" t="s">
        <v>74</v>
      </c>
      <c r="O3" s="150">
        <f>60^(1/4)</f>
        <v>2.7831576837137404</v>
      </c>
      <c r="P3" s="151" t="s">
        <v>76</v>
      </c>
      <c r="Q3" s="152">
        <f>1/15</f>
        <v>6.6666666666666666E-2</v>
      </c>
      <c r="R3" s="151" t="s">
        <v>76</v>
      </c>
      <c r="S3" s="152">
        <f>2/15</f>
        <v>0.13333333333333333</v>
      </c>
      <c r="T3" s="151" t="s">
        <v>76</v>
      </c>
      <c r="U3" s="152">
        <f>3/15</f>
        <v>0.2</v>
      </c>
      <c r="V3" s="151" t="s">
        <v>76</v>
      </c>
      <c r="W3" s="152">
        <f>4/15</f>
        <v>0.26666666666666666</v>
      </c>
      <c r="X3" s="151" t="s">
        <v>76</v>
      </c>
      <c r="Y3" s="152">
        <f>5/15</f>
        <v>0.33333333333333331</v>
      </c>
    </row>
    <row r="4" spans="1:25" ht="16.5" thickBot="1" x14ac:dyDescent="0.3">
      <c r="A4" s="153">
        <v>2</v>
      </c>
      <c r="B4" s="146" t="s">
        <v>145</v>
      </c>
      <c r="C4" s="137"/>
      <c r="D4" s="153">
        <v>2</v>
      </c>
      <c r="E4" s="146" t="s">
        <v>145</v>
      </c>
      <c r="H4" s="154" t="s">
        <v>68</v>
      </c>
      <c r="I4" s="155">
        <f>10^(1/4)</f>
        <v>1.778279410038923</v>
      </c>
      <c r="L4" s="147" t="s">
        <v>72</v>
      </c>
      <c r="M4" s="150">
        <v>0</v>
      </c>
    </row>
    <row r="5" spans="1:25" ht="15.75" x14ac:dyDescent="0.25">
      <c r="A5" s="156">
        <v>3</v>
      </c>
      <c r="B5" s="146" t="s">
        <v>11</v>
      </c>
      <c r="C5" s="137"/>
      <c r="D5" s="156">
        <v>3</v>
      </c>
      <c r="E5" s="146" t="s">
        <v>11</v>
      </c>
    </row>
    <row r="7" spans="1:25" x14ac:dyDescent="0.25">
      <c r="A7" s="157" t="s">
        <v>64</v>
      </c>
      <c r="B7" s="158" t="s">
        <v>80</v>
      </c>
      <c r="C7" s="157" t="s">
        <v>64</v>
      </c>
    </row>
    <row r="8" spans="1:25" ht="15.75" x14ac:dyDescent="0.25">
      <c r="A8" s="159">
        <v>0</v>
      </c>
      <c r="B8" s="160" t="s">
        <v>146</v>
      </c>
      <c r="C8" s="161" t="s">
        <v>147</v>
      </c>
    </row>
    <row r="9" spans="1:25" ht="15.75" x14ac:dyDescent="0.25">
      <c r="A9" s="162">
        <v>3</v>
      </c>
      <c r="B9" s="160" t="s">
        <v>148</v>
      </c>
      <c r="C9" s="163" t="s">
        <v>149</v>
      </c>
    </row>
    <row r="10" spans="1:25" ht="15.75" x14ac:dyDescent="0.25">
      <c r="A10" s="164">
        <v>6</v>
      </c>
      <c r="B10" s="160" t="s">
        <v>150</v>
      </c>
      <c r="C10" s="165" t="s">
        <v>151</v>
      </c>
    </row>
  </sheetData>
  <sortState xmlns:xlrd2="http://schemas.microsoft.com/office/spreadsheetml/2017/richdata2" ref="A3:B7">
    <sortCondition ref="A3:A7"/>
  </sortState>
  <mergeCells count="11">
    <mergeCell ref="P1:Q1"/>
    <mergeCell ref="R1:S1"/>
    <mergeCell ref="T1:U1"/>
    <mergeCell ref="V1:W1"/>
    <mergeCell ref="X1:Y1"/>
    <mergeCell ref="N1:O1"/>
    <mergeCell ref="A1:B1"/>
    <mergeCell ref="D1:E1"/>
    <mergeCell ref="H1:I1"/>
    <mergeCell ref="J1:K1"/>
    <mergeCell ref="L1:M1"/>
  </mergeCells>
  <dataValidations count="1">
    <dataValidation allowBlank="1" showInputMessage="1" showErrorMessage="1" sqref="J1 L1 N1 P1 R1 T1 X1 V1" xr:uid="{00000000-0002-0000-0600-000000000000}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3"/>
    <pageSetUpPr fitToPage="1"/>
  </sheetPr>
  <dimension ref="A1:AF17"/>
  <sheetViews>
    <sheetView topLeftCell="A2" zoomScale="70" zoomScaleNormal="70" workbookViewId="0">
      <selection activeCell="C8" sqref="C8:F9"/>
    </sheetView>
  </sheetViews>
  <sheetFormatPr defaultColWidth="11.42578125" defaultRowHeight="15" x14ac:dyDescent="0.25"/>
  <cols>
    <col min="1" max="2" width="5.5703125" style="71" customWidth="1"/>
    <col min="3" max="4" width="11.42578125" style="71"/>
    <col min="5" max="5" width="25.5703125" style="71" customWidth="1"/>
    <col min="6" max="6" width="57.42578125" style="71" customWidth="1"/>
    <col min="7" max="7" width="37.85546875" style="71" customWidth="1"/>
    <col min="8" max="8" width="29" style="71" customWidth="1"/>
    <col min="9" max="9" width="23" style="71" customWidth="1"/>
    <col min="10" max="10" width="25.85546875" style="71" customWidth="1"/>
    <col min="11" max="11" width="17.140625" style="71" customWidth="1"/>
    <col min="12" max="12" width="28.42578125" style="71" bestFit="1" customWidth="1"/>
    <col min="13" max="13" width="20.140625" style="71" bestFit="1" customWidth="1"/>
    <col min="14" max="14" width="17.5703125" style="71" bestFit="1" customWidth="1"/>
    <col min="15" max="15" width="24.85546875" style="71" bestFit="1" customWidth="1"/>
    <col min="16" max="16" width="20.5703125" style="71" bestFit="1" customWidth="1"/>
    <col min="17" max="18" width="17.5703125" style="71" bestFit="1" customWidth="1"/>
    <col min="19" max="19" width="33.42578125" style="71" customWidth="1"/>
    <col min="20" max="20" width="26.85546875" style="71" customWidth="1"/>
    <col min="21" max="21" width="11.42578125" style="71"/>
    <col min="22" max="22" width="18.5703125" style="71" bestFit="1" customWidth="1"/>
    <col min="23" max="23" width="12.5703125" style="71" customWidth="1"/>
    <col min="24" max="24" width="24.5703125" style="71" customWidth="1"/>
    <col min="25" max="16384" width="11.42578125" style="71"/>
  </cols>
  <sheetData>
    <row r="1" spans="1:32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</row>
    <row r="2" spans="1:32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</row>
    <row r="3" spans="1:32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</row>
    <row r="4" spans="1:32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</row>
    <row r="5" spans="1:32" ht="15.75" thickBot="1" x14ac:dyDescent="0.3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</row>
    <row r="6" spans="1:32" ht="24.95" customHeight="1" thickTop="1" x14ac:dyDescent="0.25">
      <c r="A6" s="55"/>
      <c r="B6" s="20"/>
      <c r="C6" s="326" t="s">
        <v>17</v>
      </c>
      <c r="D6" s="327"/>
      <c r="E6" s="327"/>
      <c r="F6" s="328"/>
      <c r="G6" s="332" t="s">
        <v>59</v>
      </c>
      <c r="H6" s="334" t="s">
        <v>60</v>
      </c>
      <c r="I6" s="327"/>
      <c r="J6" s="327"/>
      <c r="K6" s="327"/>
      <c r="L6" s="327"/>
      <c r="M6" s="327"/>
      <c r="N6" s="328"/>
      <c r="O6" s="334" t="s">
        <v>67</v>
      </c>
      <c r="P6" s="328"/>
      <c r="Q6" s="336" t="s">
        <v>98</v>
      </c>
      <c r="R6" s="337"/>
      <c r="S6" s="338"/>
      <c r="T6" s="17"/>
      <c r="U6" s="21"/>
      <c r="V6" s="413" t="s">
        <v>57</v>
      </c>
      <c r="W6" s="414"/>
      <c r="X6" s="415"/>
      <c r="Y6" s="55"/>
      <c r="Z6" s="55"/>
      <c r="AA6" s="55"/>
      <c r="AB6" s="55"/>
      <c r="AC6" s="55"/>
      <c r="AD6" s="55"/>
      <c r="AE6" s="55"/>
      <c r="AF6" s="55"/>
    </row>
    <row r="7" spans="1:32" ht="24.95" customHeight="1" x14ac:dyDescent="0.25">
      <c r="A7" s="55"/>
      <c r="B7" s="20"/>
      <c r="C7" s="329"/>
      <c r="D7" s="330"/>
      <c r="E7" s="330"/>
      <c r="F7" s="331"/>
      <c r="G7" s="333"/>
      <c r="H7" s="335"/>
      <c r="I7" s="330"/>
      <c r="J7" s="330"/>
      <c r="K7" s="330"/>
      <c r="L7" s="330"/>
      <c r="M7" s="330"/>
      <c r="N7" s="331"/>
      <c r="O7" s="335"/>
      <c r="P7" s="331"/>
      <c r="Q7" s="339"/>
      <c r="R7" s="340"/>
      <c r="S7" s="341"/>
      <c r="T7" s="17"/>
      <c r="U7" s="21"/>
      <c r="V7" s="72" t="s">
        <v>1</v>
      </c>
      <c r="W7" s="23" t="s">
        <v>9</v>
      </c>
      <c r="X7" s="73" t="s">
        <v>2</v>
      </c>
      <c r="Y7" s="55"/>
      <c r="Z7" s="55"/>
      <c r="AA7" s="55"/>
      <c r="AB7" s="55"/>
      <c r="AC7" s="55"/>
      <c r="AD7" s="55"/>
      <c r="AE7" s="55"/>
      <c r="AF7" s="55"/>
    </row>
    <row r="8" spans="1:32" ht="24.95" customHeight="1" x14ac:dyDescent="0.25">
      <c r="A8" s="55"/>
      <c r="B8" s="17"/>
      <c r="C8" s="295"/>
      <c r="D8" s="296"/>
      <c r="E8" s="296"/>
      <c r="F8" s="297"/>
      <c r="G8" s="301"/>
      <c r="H8" s="304"/>
      <c r="I8" s="305"/>
      <c r="J8" s="305"/>
      <c r="K8" s="305"/>
      <c r="L8" s="305"/>
      <c r="M8" s="305"/>
      <c r="N8" s="306"/>
      <c r="O8" s="307"/>
      <c r="P8" s="297"/>
      <c r="Q8" s="32">
        <v>1</v>
      </c>
      <c r="R8" s="312"/>
      <c r="S8" s="313"/>
      <c r="T8" s="17"/>
      <c r="U8" s="26"/>
      <c r="V8" s="74"/>
      <c r="W8" s="75"/>
      <c r="X8" s="76"/>
      <c r="Y8" s="55"/>
      <c r="Z8" s="55"/>
      <c r="AA8" s="55"/>
      <c r="AB8" s="55"/>
      <c r="AC8" s="55"/>
      <c r="AD8" s="55"/>
      <c r="AE8" s="55"/>
      <c r="AF8" s="55"/>
    </row>
    <row r="9" spans="1:32" ht="24.95" customHeight="1" x14ac:dyDescent="0.25">
      <c r="A9" s="55"/>
      <c r="B9" s="17"/>
      <c r="C9" s="298"/>
      <c r="D9" s="299"/>
      <c r="E9" s="299"/>
      <c r="F9" s="300"/>
      <c r="G9" s="302"/>
      <c r="H9" s="304"/>
      <c r="I9" s="305"/>
      <c r="J9" s="305"/>
      <c r="K9" s="305"/>
      <c r="L9" s="305"/>
      <c r="M9" s="305"/>
      <c r="N9" s="306"/>
      <c r="O9" s="308"/>
      <c r="P9" s="309"/>
      <c r="Q9" s="30">
        <v>2</v>
      </c>
      <c r="R9" s="312"/>
      <c r="S9" s="313"/>
      <c r="T9" s="17"/>
      <c r="U9" s="26"/>
      <c r="V9" s="286"/>
      <c r="W9" s="288"/>
      <c r="X9" s="290"/>
      <c r="Y9" s="55"/>
      <c r="Z9" s="55"/>
      <c r="AA9" s="55"/>
      <c r="AB9" s="55"/>
      <c r="AC9" s="55"/>
      <c r="AD9" s="55"/>
      <c r="AE9" s="55"/>
      <c r="AF9" s="55"/>
    </row>
    <row r="10" spans="1:32" ht="24.95" customHeight="1" thickBot="1" x14ac:dyDescent="0.3">
      <c r="A10" s="55"/>
      <c r="B10" s="17"/>
      <c r="C10" s="314" t="s">
        <v>55</v>
      </c>
      <c r="D10" s="250"/>
      <c r="E10" s="250"/>
      <c r="F10" s="251"/>
      <c r="G10" s="302"/>
      <c r="H10" s="304"/>
      <c r="I10" s="305"/>
      <c r="J10" s="305"/>
      <c r="K10" s="305"/>
      <c r="L10" s="305"/>
      <c r="M10" s="305"/>
      <c r="N10" s="306"/>
      <c r="O10" s="308"/>
      <c r="P10" s="309"/>
      <c r="Q10" s="30">
        <v>3</v>
      </c>
      <c r="R10" s="312"/>
      <c r="S10" s="313"/>
      <c r="T10" s="17"/>
      <c r="U10" s="21"/>
      <c r="V10" s="287"/>
      <c r="W10" s="289"/>
      <c r="X10" s="291"/>
      <c r="Y10" s="55"/>
      <c r="Z10" s="55"/>
      <c r="AA10" s="55"/>
      <c r="AB10" s="55"/>
      <c r="AC10" s="55"/>
      <c r="AD10" s="55"/>
      <c r="AE10" s="55"/>
      <c r="AF10" s="55"/>
    </row>
    <row r="11" spans="1:32" ht="24.95" customHeight="1" thickTop="1" thickBot="1" x14ac:dyDescent="0.3">
      <c r="A11" s="55"/>
      <c r="B11" s="17"/>
      <c r="C11" s="295"/>
      <c r="D11" s="296"/>
      <c r="E11" s="296"/>
      <c r="F11" s="297"/>
      <c r="G11" s="302"/>
      <c r="H11" s="304"/>
      <c r="I11" s="305"/>
      <c r="J11" s="305"/>
      <c r="K11" s="305"/>
      <c r="L11" s="305"/>
      <c r="M11" s="305"/>
      <c r="N11" s="306"/>
      <c r="O11" s="308"/>
      <c r="P11" s="309"/>
      <c r="Q11" s="32">
        <v>4</v>
      </c>
      <c r="R11" s="312"/>
      <c r="S11" s="313"/>
      <c r="T11" s="17"/>
      <c r="U11" s="21"/>
      <c r="V11" s="17"/>
      <c r="W11" s="17"/>
      <c r="X11" s="17"/>
      <c r="Y11" s="55"/>
      <c r="Z11" s="55"/>
      <c r="AA11" s="55"/>
      <c r="AB11" s="55"/>
      <c r="AC11" s="55"/>
      <c r="AD11" s="55"/>
      <c r="AE11" s="55"/>
      <c r="AF11" s="55"/>
    </row>
    <row r="12" spans="1:32" ht="24.95" customHeight="1" thickTop="1" x14ac:dyDescent="0.25">
      <c r="A12" s="55"/>
      <c r="B12" s="17"/>
      <c r="C12" s="298"/>
      <c r="D12" s="299"/>
      <c r="E12" s="299"/>
      <c r="F12" s="300"/>
      <c r="G12" s="302"/>
      <c r="H12" s="304"/>
      <c r="I12" s="305"/>
      <c r="J12" s="305"/>
      <c r="K12" s="305"/>
      <c r="L12" s="305"/>
      <c r="M12" s="305"/>
      <c r="N12" s="306"/>
      <c r="O12" s="308"/>
      <c r="P12" s="309"/>
      <c r="Q12" s="249" t="s">
        <v>97</v>
      </c>
      <c r="R12" s="250"/>
      <c r="S12" s="315"/>
      <c r="T12" s="17"/>
      <c r="U12" s="26"/>
      <c r="V12" s="416" t="s">
        <v>58</v>
      </c>
      <c r="W12" s="417"/>
      <c r="X12" s="418"/>
      <c r="Y12" s="55"/>
      <c r="Z12" s="55"/>
      <c r="AA12" s="55"/>
      <c r="AB12" s="55"/>
      <c r="AC12" s="55"/>
      <c r="AD12" s="55"/>
      <c r="AE12" s="55"/>
      <c r="AF12" s="55"/>
    </row>
    <row r="13" spans="1:32" ht="24.95" customHeight="1" x14ac:dyDescent="0.25">
      <c r="A13" s="55"/>
      <c r="B13" s="17"/>
      <c r="C13" s="314" t="s">
        <v>38</v>
      </c>
      <c r="D13" s="250"/>
      <c r="E13" s="251"/>
      <c r="F13" s="69" t="s">
        <v>40</v>
      </c>
      <c r="G13" s="302"/>
      <c r="H13" s="304"/>
      <c r="I13" s="305"/>
      <c r="J13" s="305"/>
      <c r="K13" s="305"/>
      <c r="L13" s="305"/>
      <c r="M13" s="305"/>
      <c r="N13" s="306"/>
      <c r="O13" s="308"/>
      <c r="P13" s="309"/>
      <c r="Q13" s="38">
        <v>1</v>
      </c>
      <c r="R13" s="312"/>
      <c r="S13" s="313"/>
      <c r="T13" s="17"/>
      <c r="U13" s="26"/>
      <c r="V13" s="72" t="s">
        <v>1</v>
      </c>
      <c r="W13" s="23" t="s">
        <v>9</v>
      </c>
      <c r="X13" s="77" t="s">
        <v>78</v>
      </c>
      <c r="Y13" s="55"/>
      <c r="Z13" s="55"/>
      <c r="AA13" s="55"/>
      <c r="AB13" s="55"/>
      <c r="AC13" s="55"/>
      <c r="AD13" s="55"/>
      <c r="AE13" s="55"/>
      <c r="AF13" s="55"/>
    </row>
    <row r="14" spans="1:32" ht="24.95" customHeight="1" x14ac:dyDescent="0.25">
      <c r="A14" s="55"/>
      <c r="B14" s="17"/>
      <c r="C14" s="295"/>
      <c r="D14" s="296"/>
      <c r="E14" s="297"/>
      <c r="F14" s="320"/>
      <c r="G14" s="302"/>
      <c r="H14" s="249" t="s">
        <v>61</v>
      </c>
      <c r="I14" s="250"/>
      <c r="J14" s="250"/>
      <c r="K14" s="250"/>
      <c r="L14" s="250"/>
      <c r="M14" s="250"/>
      <c r="N14" s="251"/>
      <c r="O14" s="308"/>
      <c r="P14" s="309"/>
      <c r="Q14" s="35">
        <v>2</v>
      </c>
      <c r="R14" s="312"/>
      <c r="S14" s="313"/>
      <c r="T14" s="17"/>
      <c r="U14" s="26"/>
      <c r="V14" s="74"/>
      <c r="W14" s="75"/>
      <c r="X14" s="76"/>
      <c r="Y14" s="55"/>
      <c r="Z14" s="55"/>
      <c r="AA14" s="55"/>
      <c r="AB14" s="55"/>
      <c r="AC14" s="55"/>
      <c r="AD14" s="55"/>
      <c r="AE14" s="55"/>
      <c r="AF14" s="55"/>
    </row>
    <row r="15" spans="1:32" ht="24.95" customHeight="1" x14ac:dyDescent="0.25">
      <c r="A15" s="55"/>
      <c r="B15" s="17"/>
      <c r="C15" s="316"/>
      <c r="D15" s="317"/>
      <c r="E15" s="309"/>
      <c r="F15" s="321"/>
      <c r="G15" s="302"/>
      <c r="H15" s="323"/>
      <c r="I15" s="324"/>
      <c r="J15" s="324"/>
      <c r="K15" s="324"/>
      <c r="L15" s="324"/>
      <c r="M15" s="324"/>
      <c r="N15" s="325"/>
      <c r="O15" s="308"/>
      <c r="P15" s="309"/>
      <c r="Q15" s="35">
        <v>3</v>
      </c>
      <c r="R15" s="312"/>
      <c r="S15" s="313"/>
      <c r="T15" s="17"/>
      <c r="U15" s="26"/>
      <c r="V15" s="286"/>
      <c r="W15" s="288"/>
      <c r="X15" s="290"/>
      <c r="Y15" s="55"/>
      <c r="Z15" s="55"/>
      <c r="AA15" s="55"/>
      <c r="AB15" s="55"/>
      <c r="AC15" s="55"/>
      <c r="AD15" s="55"/>
      <c r="AE15" s="55"/>
      <c r="AF15" s="55"/>
    </row>
    <row r="16" spans="1:32" ht="24.95" customHeight="1" thickBot="1" x14ac:dyDescent="0.3">
      <c r="A16" s="55"/>
      <c r="B16" s="17"/>
      <c r="C16" s="318"/>
      <c r="D16" s="319"/>
      <c r="E16" s="311"/>
      <c r="F16" s="322"/>
      <c r="G16" s="303"/>
      <c r="H16" s="278"/>
      <c r="I16" s="279"/>
      <c r="J16" s="279"/>
      <c r="K16" s="279"/>
      <c r="L16" s="279"/>
      <c r="M16" s="279"/>
      <c r="N16" s="280"/>
      <c r="O16" s="310"/>
      <c r="P16" s="311"/>
      <c r="Q16" s="78">
        <v>4</v>
      </c>
      <c r="R16" s="281"/>
      <c r="S16" s="282"/>
      <c r="T16" s="17"/>
      <c r="U16" s="26"/>
      <c r="V16" s="287"/>
      <c r="W16" s="289"/>
      <c r="X16" s="291"/>
      <c r="Y16" s="55"/>
      <c r="Z16" s="55"/>
      <c r="AA16" s="55"/>
      <c r="AB16" s="55"/>
      <c r="AC16" s="55"/>
      <c r="AD16" s="55"/>
      <c r="AE16" s="55"/>
      <c r="AF16" s="55"/>
    </row>
    <row r="17" ht="15.75" thickTop="1" x14ac:dyDescent="0.25"/>
  </sheetData>
  <mergeCells count="39">
    <mergeCell ref="C14:E16"/>
    <mergeCell ref="F14:F16"/>
    <mergeCell ref="C6:F7"/>
    <mergeCell ref="C8:F9"/>
    <mergeCell ref="C10:F10"/>
    <mergeCell ref="C11:F12"/>
    <mergeCell ref="C13:E13"/>
    <mergeCell ref="G6:G7"/>
    <mergeCell ref="G8:G16"/>
    <mergeCell ref="H6:N7"/>
    <mergeCell ref="H8:N8"/>
    <mergeCell ref="H9:N9"/>
    <mergeCell ref="H10:N10"/>
    <mergeCell ref="H11:N11"/>
    <mergeCell ref="H12:N12"/>
    <mergeCell ref="H13:N13"/>
    <mergeCell ref="H14:N14"/>
    <mergeCell ref="H15:N15"/>
    <mergeCell ref="H16:N16"/>
    <mergeCell ref="O6:P7"/>
    <mergeCell ref="O8:P16"/>
    <mergeCell ref="Q6:S7"/>
    <mergeCell ref="R8:S8"/>
    <mergeCell ref="R9:S9"/>
    <mergeCell ref="R10:S10"/>
    <mergeCell ref="R11:S11"/>
    <mergeCell ref="R13:S13"/>
    <mergeCell ref="Q12:S12"/>
    <mergeCell ref="V6:X6"/>
    <mergeCell ref="V9:V10"/>
    <mergeCell ref="W9:W10"/>
    <mergeCell ref="X9:X10"/>
    <mergeCell ref="V12:X12"/>
    <mergeCell ref="W15:W16"/>
    <mergeCell ref="X15:X16"/>
    <mergeCell ref="R14:S14"/>
    <mergeCell ref="R15:S15"/>
    <mergeCell ref="R16:S16"/>
    <mergeCell ref="V15:V16"/>
  </mergeCells>
  <conditionalFormatting sqref="V9">
    <cfRule type="expression" dxfId="17" priority="16">
      <formula>V9="Alta"</formula>
    </cfRule>
    <cfRule type="expression" dxfId="16" priority="17">
      <formula>V9="Media"</formula>
    </cfRule>
    <cfRule type="expression" dxfId="15" priority="18">
      <formula>V9="Baja"</formula>
    </cfRule>
  </conditionalFormatting>
  <conditionalFormatting sqref="W9">
    <cfRule type="expression" dxfId="14" priority="13">
      <formula>W9="Alta"</formula>
    </cfRule>
    <cfRule type="expression" dxfId="13" priority="14">
      <formula>W9="Media"</formula>
    </cfRule>
    <cfRule type="expression" dxfId="12" priority="15">
      <formula>W9="Baja"</formula>
    </cfRule>
  </conditionalFormatting>
  <conditionalFormatting sqref="X9">
    <cfRule type="expression" dxfId="11" priority="10">
      <formula>X9="ALTO"</formula>
    </cfRule>
    <cfRule type="expression" dxfId="10" priority="11">
      <formula>X9="MEDIO"</formula>
    </cfRule>
    <cfRule type="expression" dxfId="9" priority="12">
      <formula>X9="BAJO"</formula>
    </cfRule>
  </conditionalFormatting>
  <conditionalFormatting sqref="V15">
    <cfRule type="expression" dxfId="8" priority="7">
      <formula>V15="Alta"</formula>
    </cfRule>
    <cfRule type="expression" dxfId="7" priority="8">
      <formula>V15="Media"</formula>
    </cfRule>
    <cfRule type="expression" dxfId="6" priority="9">
      <formula>V15="Baja"</formula>
    </cfRule>
  </conditionalFormatting>
  <conditionalFormatting sqref="W15">
    <cfRule type="expression" dxfId="5" priority="4">
      <formula>W15="Alta"</formula>
    </cfRule>
    <cfRule type="expression" dxfId="4" priority="5">
      <formula>W15="Media"</formula>
    </cfRule>
    <cfRule type="expression" dxfId="3" priority="6">
      <formula>W15="Baja"</formula>
    </cfRule>
  </conditionalFormatting>
  <conditionalFormatting sqref="X15">
    <cfRule type="expression" dxfId="2" priority="1">
      <formula>X15="ALTO"</formula>
    </cfRule>
    <cfRule type="expression" dxfId="1" priority="2">
      <formula>X15="MEDIO"</formula>
    </cfRule>
    <cfRule type="expression" dxfId="0" priority="3">
      <formula>X15="BAJO"</formula>
    </cfRule>
  </conditionalFormatting>
  <printOptions horizontalCentered="1"/>
  <pageMargins left="0.59055118110236227" right="0.59055118110236227" top="0.78740157480314965" bottom="0.39370078740157483" header="0.31496062992125984" footer="0.11811023622047245"/>
  <pageSetup scale="2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theme="3"/>
    <pageSetUpPr fitToPage="1"/>
  </sheetPr>
  <dimension ref="A1:AI14"/>
  <sheetViews>
    <sheetView topLeftCell="A2" zoomScale="70" zoomScaleNormal="70" workbookViewId="0">
      <selection activeCell="H17" sqref="H17"/>
    </sheetView>
  </sheetViews>
  <sheetFormatPr defaultColWidth="11.42578125" defaultRowHeight="15" x14ac:dyDescent="0.3"/>
  <cols>
    <col min="1" max="1" width="25.42578125" style="85" bestFit="1" customWidth="1"/>
    <col min="2" max="2" width="30.5703125" style="85" customWidth="1"/>
    <col min="3" max="3" width="6.5703125" style="85" customWidth="1"/>
    <col min="4" max="5" width="11.42578125" style="85"/>
    <col min="6" max="6" width="25.5703125" style="85" customWidth="1"/>
    <col min="7" max="7" width="57.42578125" style="85" customWidth="1"/>
    <col min="8" max="8" width="37.85546875" style="85" customWidth="1"/>
    <col min="9" max="9" width="29" style="85" customWidth="1"/>
    <col min="10" max="10" width="23" style="85" customWidth="1"/>
    <col min="11" max="11" width="25.85546875" style="85" customWidth="1"/>
    <col min="12" max="12" width="17.140625" style="85" customWidth="1"/>
    <col min="13" max="13" width="28.42578125" style="85" bestFit="1" customWidth="1"/>
    <col min="14" max="14" width="20.140625" style="85" bestFit="1" customWidth="1"/>
    <col min="15" max="15" width="17.5703125" style="85" bestFit="1" customWidth="1"/>
    <col min="16" max="16" width="24.85546875" style="85" bestFit="1" customWidth="1"/>
    <col min="17" max="17" width="20.5703125" style="85" bestFit="1" customWidth="1"/>
    <col min="18" max="19" width="17.5703125" style="85" bestFit="1" customWidth="1"/>
    <col min="20" max="20" width="33.42578125" style="85" customWidth="1"/>
    <col min="21" max="21" width="26.85546875" style="85" customWidth="1"/>
    <col min="22" max="22" width="5.5703125" style="85" customWidth="1"/>
    <col min="23" max="23" width="18.5703125" style="85" bestFit="1" customWidth="1"/>
    <col min="24" max="24" width="12.5703125" style="85" customWidth="1"/>
    <col min="25" max="25" width="24.5703125" style="85" customWidth="1"/>
    <col min="26" max="26" width="5.5703125" style="85" customWidth="1"/>
    <col min="27" max="29" width="30.5703125" style="85" customWidth="1"/>
    <col min="30" max="30" width="5.5703125" style="85" customWidth="1"/>
    <col min="31" max="16384" width="11.42578125" style="85"/>
  </cols>
  <sheetData>
    <row r="1" spans="1:35" x14ac:dyDescent="0.3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</row>
    <row r="2" spans="1:3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</row>
    <row r="3" spans="1:35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</row>
    <row r="4" spans="1:35" x14ac:dyDescent="0.3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</row>
    <row r="5" spans="1:35" x14ac:dyDescent="0.3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</row>
    <row r="6" spans="1:35" ht="15.75" thickBot="1" x14ac:dyDescent="0.3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</row>
    <row r="7" spans="1:35" ht="24.95" customHeight="1" thickTop="1" thickBot="1" x14ac:dyDescent="0.35">
      <c r="A7" s="419" t="s">
        <v>40</v>
      </c>
      <c r="B7" s="421" t="s">
        <v>59</v>
      </c>
      <c r="C7" s="369" t="s">
        <v>14</v>
      </c>
      <c r="D7" s="370"/>
      <c r="E7" s="370"/>
      <c r="F7" s="370"/>
      <c r="G7" s="370"/>
      <c r="H7" s="370"/>
      <c r="I7" s="370"/>
      <c r="J7" s="370"/>
      <c r="K7" s="370"/>
      <c r="L7" s="371"/>
      <c r="M7" s="381" t="s">
        <v>18</v>
      </c>
      <c r="N7" s="382"/>
      <c r="O7" s="382"/>
      <c r="P7" s="383"/>
      <c r="Q7" s="369" t="s">
        <v>21</v>
      </c>
      <c r="R7" s="370"/>
      <c r="S7" s="370"/>
      <c r="T7" s="370"/>
      <c r="U7" s="384"/>
      <c r="V7" s="83"/>
      <c r="W7" s="344" t="s">
        <v>79</v>
      </c>
      <c r="X7" s="345"/>
      <c r="Y7" s="346"/>
      <c r="Z7" s="84"/>
      <c r="AA7" s="347" t="s">
        <v>77</v>
      </c>
      <c r="AB7" s="348"/>
      <c r="AC7" s="349"/>
      <c r="AD7" s="84"/>
      <c r="AE7" s="84"/>
      <c r="AF7" s="84"/>
      <c r="AG7" s="84"/>
      <c r="AH7" s="84"/>
      <c r="AI7" s="84"/>
    </row>
    <row r="8" spans="1:35" ht="47.1" customHeight="1" x14ac:dyDescent="0.3">
      <c r="A8" s="420"/>
      <c r="B8" s="422"/>
      <c r="C8" s="86" t="s">
        <v>0</v>
      </c>
      <c r="D8" s="350" t="s">
        <v>3</v>
      </c>
      <c r="E8" s="351"/>
      <c r="F8" s="352"/>
      <c r="G8" s="87" t="s">
        <v>15</v>
      </c>
      <c r="H8" s="88" t="s">
        <v>4</v>
      </c>
      <c r="I8" s="88" t="s">
        <v>7</v>
      </c>
      <c r="J8" s="89" t="s">
        <v>5</v>
      </c>
      <c r="K8" s="88" t="s">
        <v>6</v>
      </c>
      <c r="L8" s="88" t="s">
        <v>23</v>
      </c>
      <c r="M8" s="90" t="s">
        <v>27</v>
      </c>
      <c r="N8" s="90" t="s">
        <v>24</v>
      </c>
      <c r="O8" s="90" t="s">
        <v>26</v>
      </c>
      <c r="P8" s="90" t="s">
        <v>28</v>
      </c>
      <c r="Q8" s="91" t="s">
        <v>19</v>
      </c>
      <c r="R8" s="92" t="s">
        <v>25</v>
      </c>
      <c r="S8" s="92" t="s">
        <v>30</v>
      </c>
      <c r="T8" s="92" t="s">
        <v>20</v>
      </c>
      <c r="U8" s="93" t="s">
        <v>29</v>
      </c>
      <c r="V8" s="83"/>
      <c r="W8" s="94" t="s">
        <v>18</v>
      </c>
      <c r="X8" s="95" t="s">
        <v>21</v>
      </c>
      <c r="Y8" s="96" t="s">
        <v>12</v>
      </c>
      <c r="Z8" s="84"/>
      <c r="AA8" s="97" t="s">
        <v>100</v>
      </c>
      <c r="AB8" s="98" t="s">
        <v>101</v>
      </c>
      <c r="AC8" s="99" t="s">
        <v>102</v>
      </c>
      <c r="AD8" s="84"/>
      <c r="AE8" s="84"/>
      <c r="AF8" s="84"/>
      <c r="AG8" s="84"/>
      <c r="AH8" s="84"/>
      <c r="AI8" s="84"/>
    </row>
    <row r="9" spans="1:35" ht="24.95" customHeight="1" thickBot="1" x14ac:dyDescent="0.35">
      <c r="A9" s="353"/>
      <c r="B9" s="356"/>
      <c r="C9" s="100">
        <v>1</v>
      </c>
      <c r="D9" s="359"/>
      <c r="E9" s="360"/>
      <c r="F9" s="361"/>
      <c r="G9" s="101"/>
      <c r="H9" s="102"/>
      <c r="I9" s="103"/>
      <c r="J9" s="104"/>
      <c r="K9" s="104"/>
      <c r="L9" s="104"/>
      <c r="M9" s="102"/>
      <c r="N9" s="102"/>
      <c r="O9" s="105"/>
      <c r="P9" s="105"/>
      <c r="Q9" s="105"/>
      <c r="R9" s="105"/>
      <c r="S9" s="105"/>
      <c r="T9" s="105"/>
      <c r="U9" s="106"/>
      <c r="V9" s="83"/>
      <c r="W9" s="107"/>
      <c r="X9" s="108"/>
      <c r="Y9" s="109"/>
      <c r="Z9" s="84"/>
      <c r="AA9" s="110"/>
      <c r="AB9" s="111"/>
      <c r="AC9" s="112"/>
      <c r="AD9" s="84"/>
      <c r="AE9" s="84"/>
      <c r="AF9" s="84"/>
      <c r="AG9" s="84"/>
      <c r="AH9" s="84"/>
      <c r="AI9" s="84"/>
    </row>
    <row r="10" spans="1:35" ht="24.95" customHeight="1" thickTop="1" x14ac:dyDescent="0.3">
      <c r="A10" s="354"/>
      <c r="B10" s="357"/>
      <c r="C10" s="100">
        <v>2</v>
      </c>
      <c r="D10" s="359"/>
      <c r="E10" s="360"/>
      <c r="F10" s="361"/>
      <c r="G10" s="101"/>
      <c r="H10" s="102"/>
      <c r="I10" s="103"/>
      <c r="J10" s="104"/>
      <c r="K10" s="104"/>
      <c r="L10" s="104"/>
      <c r="M10" s="102"/>
      <c r="N10" s="102"/>
      <c r="O10" s="105"/>
      <c r="P10" s="105"/>
      <c r="Q10" s="105"/>
      <c r="R10" s="105"/>
      <c r="S10" s="105"/>
      <c r="T10" s="105"/>
      <c r="U10" s="106"/>
      <c r="V10" s="83"/>
      <c r="W10" s="107"/>
      <c r="X10" s="108"/>
      <c r="Y10" s="109"/>
      <c r="Z10" s="84"/>
      <c r="AA10" s="84"/>
      <c r="AB10" s="84"/>
      <c r="AC10" s="84"/>
      <c r="AD10" s="84"/>
      <c r="AE10" s="84"/>
      <c r="AF10" s="84"/>
      <c r="AG10" s="84"/>
      <c r="AH10" s="84"/>
      <c r="AI10" s="84"/>
    </row>
    <row r="11" spans="1:35" ht="24.95" customHeight="1" x14ac:dyDescent="0.3">
      <c r="A11" s="354"/>
      <c r="B11" s="357"/>
      <c r="C11" s="100">
        <v>3</v>
      </c>
      <c r="D11" s="359"/>
      <c r="E11" s="360"/>
      <c r="F11" s="361"/>
      <c r="G11" s="101"/>
      <c r="H11" s="102"/>
      <c r="I11" s="103"/>
      <c r="J11" s="104"/>
      <c r="K11" s="104"/>
      <c r="L11" s="104"/>
      <c r="M11" s="102"/>
      <c r="N11" s="102"/>
      <c r="O11" s="105"/>
      <c r="P11" s="105"/>
      <c r="Q11" s="105"/>
      <c r="R11" s="105"/>
      <c r="S11" s="105"/>
      <c r="T11" s="105"/>
      <c r="U11" s="106"/>
      <c r="V11" s="83"/>
      <c r="W11" s="107"/>
      <c r="X11" s="108"/>
      <c r="Y11" s="109"/>
      <c r="Z11" s="84"/>
      <c r="AA11" s="84"/>
      <c r="AB11" s="84"/>
      <c r="AC11" s="84"/>
      <c r="AD11" s="84"/>
      <c r="AE11" s="84"/>
      <c r="AF11" s="84"/>
      <c r="AG11" s="84"/>
      <c r="AH11" s="84"/>
      <c r="AI11" s="84"/>
    </row>
    <row r="12" spans="1:35" ht="24.95" customHeight="1" x14ac:dyDescent="0.3">
      <c r="A12" s="354"/>
      <c r="B12" s="357"/>
      <c r="C12" s="100">
        <v>4</v>
      </c>
      <c r="D12" s="359"/>
      <c r="E12" s="360"/>
      <c r="F12" s="361"/>
      <c r="G12" s="101"/>
      <c r="H12" s="102"/>
      <c r="I12" s="103"/>
      <c r="J12" s="104"/>
      <c r="K12" s="104"/>
      <c r="L12" s="104"/>
      <c r="M12" s="102"/>
      <c r="N12" s="102"/>
      <c r="O12" s="105"/>
      <c r="P12" s="105"/>
      <c r="Q12" s="105"/>
      <c r="R12" s="105"/>
      <c r="S12" s="105"/>
      <c r="T12" s="105"/>
      <c r="U12" s="106"/>
      <c r="V12" s="83"/>
      <c r="W12" s="107"/>
      <c r="X12" s="108"/>
      <c r="Y12" s="109"/>
      <c r="Z12" s="84"/>
      <c r="AA12" s="84"/>
      <c r="AB12" s="84"/>
      <c r="AC12" s="84"/>
      <c r="AD12" s="84"/>
      <c r="AE12" s="84"/>
      <c r="AF12" s="84"/>
      <c r="AG12" s="84"/>
      <c r="AH12" s="84"/>
      <c r="AI12" s="84"/>
    </row>
    <row r="13" spans="1:35" ht="24.95" customHeight="1" thickBot="1" x14ac:dyDescent="0.35">
      <c r="A13" s="355"/>
      <c r="B13" s="358"/>
      <c r="C13" s="113">
        <v>5</v>
      </c>
      <c r="D13" s="362"/>
      <c r="E13" s="363"/>
      <c r="F13" s="364"/>
      <c r="G13" s="114"/>
      <c r="H13" s="115"/>
      <c r="I13" s="116"/>
      <c r="J13" s="117"/>
      <c r="K13" s="117"/>
      <c r="L13" s="117"/>
      <c r="M13" s="115"/>
      <c r="N13" s="115"/>
      <c r="O13" s="118"/>
      <c r="P13" s="118"/>
      <c r="Q13" s="118"/>
      <c r="R13" s="118"/>
      <c r="S13" s="118"/>
      <c r="T13" s="118"/>
      <c r="U13" s="119"/>
      <c r="V13" s="83"/>
      <c r="W13" s="120"/>
      <c r="X13" s="121"/>
      <c r="Y13" s="122"/>
      <c r="Z13" s="84"/>
      <c r="AA13" s="84"/>
      <c r="AB13" s="84"/>
      <c r="AC13" s="84"/>
      <c r="AD13" s="84"/>
      <c r="AE13" s="84"/>
      <c r="AF13" s="84"/>
      <c r="AG13" s="84"/>
      <c r="AH13" s="84"/>
      <c r="AI13" s="84"/>
    </row>
    <row r="14" spans="1:35" ht="15.75" thickTop="1" x14ac:dyDescent="0.3">
      <c r="AD14" s="84"/>
    </row>
  </sheetData>
  <mergeCells count="15">
    <mergeCell ref="A9:A13"/>
    <mergeCell ref="B9:B13"/>
    <mergeCell ref="D8:F8"/>
    <mergeCell ref="C7:L7"/>
    <mergeCell ref="D9:F9"/>
    <mergeCell ref="D10:F10"/>
    <mergeCell ref="D11:F11"/>
    <mergeCell ref="D12:F12"/>
    <mergeCell ref="D13:F13"/>
    <mergeCell ref="M7:P7"/>
    <mergeCell ref="Q7:U7"/>
    <mergeCell ref="W7:Y7"/>
    <mergeCell ref="AA7:AC7"/>
    <mergeCell ref="A7:A8"/>
    <mergeCell ref="B7:B8"/>
  </mergeCells>
  <printOptions horizontalCentered="1"/>
  <pageMargins left="0.59055118110236227" right="0.59055118110236227" top="0.78740157480314965" bottom="0.39370078740157483" header="0.31496062992125984" footer="0.11811023622047245"/>
  <pageSetup scale="1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AJ56"/>
  <sheetViews>
    <sheetView workbookViewId="0">
      <pane ySplit="4" topLeftCell="A5" activePane="bottomLeft" state="frozen"/>
      <selection activeCell="B2" sqref="B2:G2"/>
      <selection pane="bottomLeft" activeCell="C14" sqref="C14"/>
    </sheetView>
  </sheetViews>
  <sheetFormatPr defaultColWidth="11.42578125" defaultRowHeight="15.75" x14ac:dyDescent="0.3"/>
  <cols>
    <col min="1" max="1" width="9" style="166" customWidth="1"/>
    <col min="2" max="2" width="6.7109375" style="166" bestFit="1" customWidth="1"/>
    <col min="3" max="3" width="101.5703125" style="169" bestFit="1" customWidth="1"/>
    <col min="4" max="4" width="12.28515625" style="170" bestFit="1" customWidth="1"/>
    <col min="5" max="5" width="8.28515625" style="170" bestFit="1" customWidth="1"/>
    <col min="6" max="6" width="9" style="170" bestFit="1" customWidth="1"/>
    <col min="7" max="7" width="9.42578125" style="171" bestFit="1" customWidth="1"/>
    <col min="8" max="8" width="14.42578125" style="166" bestFit="1" customWidth="1"/>
    <col min="9" max="9" width="3.85546875" style="166" bestFit="1" customWidth="1"/>
    <col min="10" max="10" width="12.85546875" style="166" bestFit="1" customWidth="1"/>
    <col min="11" max="12" width="3.85546875" style="166" bestFit="1" customWidth="1"/>
    <col min="13" max="13" width="5.7109375" style="166" bestFit="1" customWidth="1"/>
    <col min="14" max="17" width="3.85546875" style="166" bestFit="1" customWidth="1"/>
    <col min="18" max="18" width="5.28515625" style="166" bestFit="1" customWidth="1"/>
    <col min="19" max="35" width="3.85546875" style="166" bestFit="1" customWidth="1"/>
    <col min="36" max="36" width="2" style="166" bestFit="1" customWidth="1"/>
    <col min="37" max="16384" width="11.42578125" style="166"/>
  </cols>
  <sheetData>
    <row r="1" spans="1:35" ht="18" customHeight="1" x14ac:dyDescent="0.3">
      <c r="B1" s="396" t="s">
        <v>141</v>
      </c>
      <c r="C1" s="396"/>
      <c r="D1" s="396"/>
      <c r="E1" s="396"/>
      <c r="F1" s="396"/>
      <c r="G1" s="396"/>
      <c r="H1" s="167"/>
      <c r="I1" s="167"/>
    </row>
    <row r="2" spans="1:35" ht="18" x14ac:dyDescent="0.3">
      <c r="B2" s="423"/>
      <c r="C2" s="423"/>
      <c r="D2" s="423"/>
      <c r="E2" s="423"/>
      <c r="F2" s="423"/>
      <c r="G2" s="423"/>
      <c r="J2" s="71"/>
      <c r="K2" s="71"/>
      <c r="L2" s="71"/>
      <c r="M2" s="71"/>
      <c r="O2" s="71"/>
      <c r="P2" s="71"/>
    </row>
    <row r="3" spans="1:35" ht="16.5" thickBot="1" x14ac:dyDescent="0.35"/>
    <row r="4" spans="1:35" ht="23.25" thickBot="1" x14ac:dyDescent="0.35">
      <c r="A4" s="193" t="s">
        <v>106</v>
      </c>
      <c r="B4" s="193" t="s">
        <v>107</v>
      </c>
      <c r="C4" s="193" t="s">
        <v>108</v>
      </c>
      <c r="D4" s="195" t="s">
        <v>1</v>
      </c>
      <c r="E4" s="195" t="s">
        <v>9</v>
      </c>
      <c r="F4" s="195" t="s">
        <v>2</v>
      </c>
      <c r="G4" s="193" t="s">
        <v>109</v>
      </c>
      <c r="H4" s="193" t="s">
        <v>122</v>
      </c>
      <c r="I4" s="167"/>
      <c r="J4" s="193" t="s">
        <v>110</v>
      </c>
      <c r="K4" s="199" t="s">
        <v>111</v>
      </c>
      <c r="L4" s="199" t="s">
        <v>112</v>
      </c>
      <c r="M4" s="199" t="s">
        <v>113</v>
      </c>
      <c r="N4" s="199" t="s">
        <v>137</v>
      </c>
      <c r="O4" s="199" t="s">
        <v>138</v>
      </c>
      <c r="P4" s="199" t="s">
        <v>114</v>
      </c>
      <c r="Q4" s="199" t="s">
        <v>115</v>
      </c>
      <c r="R4" s="199" t="s">
        <v>116</v>
      </c>
      <c r="S4" s="199" t="s">
        <v>139</v>
      </c>
      <c r="T4" s="199" t="s">
        <v>140</v>
      </c>
      <c r="U4" s="199" t="s">
        <v>117</v>
      </c>
      <c r="V4" s="199" t="s">
        <v>118</v>
      </c>
      <c r="W4" s="199" t="s">
        <v>119</v>
      </c>
      <c r="X4" s="199" t="s">
        <v>125</v>
      </c>
      <c r="Y4" s="199" t="s">
        <v>126</v>
      </c>
      <c r="Z4" s="199" t="s">
        <v>127</v>
      </c>
      <c r="AA4" s="199" t="s">
        <v>128</v>
      </c>
      <c r="AB4" s="199" t="s">
        <v>129</v>
      </c>
      <c r="AC4" s="199" t="s">
        <v>130</v>
      </c>
      <c r="AD4" s="199" t="s">
        <v>131</v>
      </c>
      <c r="AE4" s="199" t="s">
        <v>132</v>
      </c>
      <c r="AF4" s="199" t="s">
        <v>133</v>
      </c>
      <c r="AG4" s="199" t="s">
        <v>134</v>
      </c>
      <c r="AH4" s="199" t="s">
        <v>135</v>
      </c>
      <c r="AI4" s="199" t="s">
        <v>136</v>
      </c>
    </row>
    <row r="5" spans="1:35" ht="15" x14ac:dyDescent="0.3">
      <c r="A5" s="192">
        <v>1</v>
      </c>
      <c r="B5" s="192" t="str">
        <f ca="1">OFFSET('Matriz de Riesgos'!$F$14,H5,0)</f>
        <v>1-CU</v>
      </c>
      <c r="C5" s="192" t="str">
        <f ca="1">OFFSET('Matriz de Riesgos'!$G$8,H5,0)</f>
        <v>Que una contraparte reciba sobornos de otras empresas/personas</v>
      </c>
      <c r="D5" s="194">
        <f ca="1">OFFSET('Matriz de Riesgos'!$V$8,H5,0)</f>
        <v>1</v>
      </c>
      <c r="E5" s="194">
        <f ca="1">OFFSET('Matriz de Riesgos'!$W$8,H5,0)</f>
        <v>3</v>
      </c>
      <c r="F5" s="198">
        <f ca="1">D5*E5</f>
        <v>3</v>
      </c>
      <c r="G5" s="196" t="str">
        <f t="shared" ref="G5" ca="1" si="0">D5&amp;E5</f>
        <v>13</v>
      </c>
      <c r="H5" s="197">
        <v>0</v>
      </c>
      <c r="J5" s="200">
        <v>1</v>
      </c>
      <c r="K5" s="196" t="str">
        <f ca="1">IF($G5=K$4,$B5&amp;";","")</f>
        <v/>
      </c>
      <c r="L5" s="196" t="str">
        <f t="shared" ref="L5:AA20" ca="1" si="1">IF($G5=L$4,$B5&amp;";","")</f>
        <v/>
      </c>
      <c r="M5" s="196" t="str">
        <f t="shared" ca="1" si="1"/>
        <v>1-CU;</v>
      </c>
      <c r="N5" s="196" t="str">
        <f t="shared" ca="1" si="1"/>
        <v/>
      </c>
      <c r="O5" s="196" t="str">
        <f t="shared" ca="1" si="1"/>
        <v/>
      </c>
      <c r="P5" s="196" t="str">
        <f t="shared" ca="1" si="1"/>
        <v/>
      </c>
      <c r="Q5" s="196" t="str">
        <f t="shared" ca="1" si="1"/>
        <v/>
      </c>
      <c r="R5" s="196" t="str">
        <f t="shared" ca="1" si="1"/>
        <v/>
      </c>
      <c r="S5" s="196" t="str">
        <f t="shared" ca="1" si="1"/>
        <v/>
      </c>
      <c r="T5" s="196" t="str">
        <f t="shared" ca="1" si="1"/>
        <v/>
      </c>
      <c r="U5" s="196" t="str">
        <f t="shared" ca="1" si="1"/>
        <v/>
      </c>
      <c r="V5" s="196" t="str">
        <f t="shared" ca="1" si="1"/>
        <v/>
      </c>
      <c r="W5" s="196" t="str">
        <f t="shared" ca="1" si="1"/>
        <v/>
      </c>
      <c r="X5" s="196" t="str">
        <f t="shared" ca="1" si="1"/>
        <v/>
      </c>
      <c r="Y5" s="196" t="str">
        <f t="shared" ca="1" si="1"/>
        <v/>
      </c>
      <c r="Z5" s="196" t="str">
        <f t="shared" ca="1" si="1"/>
        <v/>
      </c>
      <c r="AA5" s="196" t="str">
        <f t="shared" ca="1" si="1"/>
        <v/>
      </c>
      <c r="AB5" s="196" t="str">
        <f t="shared" ref="AB5:AI19" ca="1" si="2">IF($G5=AB$4,$B5&amp;";","")</f>
        <v/>
      </c>
      <c r="AC5" s="196" t="str">
        <f t="shared" ca="1" si="2"/>
        <v/>
      </c>
      <c r="AD5" s="196" t="str">
        <f t="shared" ca="1" si="2"/>
        <v/>
      </c>
      <c r="AE5" s="196" t="str">
        <f t="shared" ca="1" si="2"/>
        <v/>
      </c>
      <c r="AF5" s="196" t="str">
        <f t="shared" ca="1" si="2"/>
        <v/>
      </c>
      <c r="AG5" s="196" t="str">
        <f t="shared" ca="1" si="2"/>
        <v/>
      </c>
      <c r="AH5" s="196" t="str">
        <f t="shared" ca="1" si="2"/>
        <v/>
      </c>
      <c r="AI5" s="196" t="str">
        <f t="shared" ca="1" si="2"/>
        <v/>
      </c>
    </row>
    <row r="6" spans="1:35" ht="15" x14ac:dyDescent="0.3">
      <c r="A6" s="189">
        <v>2</v>
      </c>
      <c r="B6" s="189" t="str">
        <f ca="1">OFFSET('Matriz de Riesgos'!$F$14,H6,0)</f>
        <v>2-CU</v>
      </c>
      <c r="C6" s="189" t="str">
        <f ca="1">OFFSET('Matriz de Riesgos'!$G$8,H6,0)</f>
        <v>Que algún proveedor reciba sobornos de cualquier forma</v>
      </c>
      <c r="D6" s="190">
        <f ca="1">OFFSET('Matriz de Riesgos'!$V$8,H6,0)</f>
        <v>1</v>
      </c>
      <c r="E6" s="190">
        <f ca="1">OFFSET('Matriz de Riesgos'!$W$8,H6,0)</f>
        <v>3</v>
      </c>
      <c r="F6" s="191">
        <f t="shared" ref="F6:F54" ca="1" si="3">D6*E6</f>
        <v>3</v>
      </c>
      <c r="G6" s="168" t="str">
        <f t="shared" ref="G6:G54" ca="1" si="4">D6&amp;E6</f>
        <v>13</v>
      </c>
      <c r="H6" s="168">
        <v>11</v>
      </c>
      <c r="J6" s="201">
        <v>2</v>
      </c>
      <c r="K6" s="168" t="str">
        <f t="shared" ref="K6:Z21" ca="1" si="5">IF($G6=K$4,$B6&amp;";","")</f>
        <v/>
      </c>
      <c r="L6" s="168" t="str">
        <f t="shared" ca="1" si="1"/>
        <v/>
      </c>
      <c r="M6" s="168" t="str">
        <f t="shared" ca="1" si="1"/>
        <v>2-CU;</v>
      </c>
      <c r="N6" s="168" t="str">
        <f t="shared" ca="1" si="1"/>
        <v/>
      </c>
      <c r="O6" s="168" t="str">
        <f t="shared" ca="1" si="1"/>
        <v/>
      </c>
      <c r="P6" s="168" t="str">
        <f t="shared" ca="1" si="1"/>
        <v/>
      </c>
      <c r="Q6" s="168" t="str">
        <f t="shared" ca="1" si="1"/>
        <v/>
      </c>
      <c r="R6" s="168" t="str">
        <f t="shared" ca="1" si="1"/>
        <v/>
      </c>
      <c r="S6" s="168" t="str">
        <f t="shared" ca="1" si="1"/>
        <v/>
      </c>
      <c r="T6" s="168" t="str">
        <f t="shared" ca="1" si="1"/>
        <v/>
      </c>
      <c r="U6" s="168" t="str">
        <f t="shared" ca="1" si="1"/>
        <v/>
      </c>
      <c r="V6" s="168" t="str">
        <f t="shared" ca="1" si="1"/>
        <v/>
      </c>
      <c r="W6" s="168" t="str">
        <f t="shared" ca="1" si="1"/>
        <v/>
      </c>
      <c r="X6" s="168" t="str">
        <f t="shared" ca="1" si="1"/>
        <v/>
      </c>
      <c r="Y6" s="168" t="str">
        <f t="shared" ca="1" si="1"/>
        <v/>
      </c>
      <c r="Z6" s="168" t="str">
        <f t="shared" ca="1" si="1"/>
        <v/>
      </c>
      <c r="AA6" s="168" t="str">
        <f t="shared" ca="1" si="1"/>
        <v/>
      </c>
      <c r="AB6" s="168" t="str">
        <f t="shared" ca="1" si="2"/>
        <v/>
      </c>
      <c r="AC6" s="168" t="str">
        <f t="shared" ca="1" si="2"/>
        <v/>
      </c>
      <c r="AD6" s="168" t="str">
        <f t="shared" ca="1" si="2"/>
        <v/>
      </c>
      <c r="AE6" s="168" t="str">
        <f t="shared" ca="1" si="2"/>
        <v/>
      </c>
      <c r="AF6" s="168" t="str">
        <f t="shared" ca="1" si="2"/>
        <v/>
      </c>
      <c r="AG6" s="168" t="str">
        <f t="shared" ca="1" si="2"/>
        <v/>
      </c>
      <c r="AH6" s="168" t="str">
        <f t="shared" ca="1" si="2"/>
        <v/>
      </c>
      <c r="AI6" s="168" t="str">
        <f t="shared" ca="1" si="2"/>
        <v/>
      </c>
    </row>
    <row r="7" spans="1:35" ht="15" x14ac:dyDescent="0.3">
      <c r="A7" s="189">
        <v>3</v>
      </c>
      <c r="B7" s="189" t="str">
        <f ca="1">OFFSET('Matriz de Riesgos'!$F$14,H7,0)</f>
        <v>3-CU</v>
      </c>
      <c r="C7" s="189" t="s">
        <v>284</v>
      </c>
      <c r="D7" s="190">
        <f ca="1">OFFSET('Matriz de Riesgos'!$V$8,H7,0)</f>
        <v>1</v>
      </c>
      <c r="E7" s="190">
        <f ca="1">OFFSET('Matriz de Riesgos'!$W$8,H7,0)</f>
        <v>3</v>
      </c>
      <c r="F7" s="191">
        <f t="shared" ca="1" si="3"/>
        <v>3</v>
      </c>
      <c r="G7" s="168" t="str">
        <f t="shared" ca="1" si="4"/>
        <v>13</v>
      </c>
      <c r="H7" s="168">
        <f>H6+11</f>
        <v>22</v>
      </c>
      <c r="J7" s="201">
        <v>3</v>
      </c>
      <c r="K7" s="168" t="str">
        <f t="shared" ca="1" si="5"/>
        <v/>
      </c>
      <c r="L7" s="168" t="str">
        <f t="shared" ca="1" si="1"/>
        <v/>
      </c>
      <c r="M7" s="168" t="str">
        <f t="shared" ca="1" si="1"/>
        <v>3-CU;</v>
      </c>
      <c r="N7" s="168" t="str">
        <f t="shared" ca="1" si="1"/>
        <v/>
      </c>
      <c r="O7" s="168" t="str">
        <f t="shared" ca="1" si="1"/>
        <v/>
      </c>
      <c r="P7" s="168" t="str">
        <f t="shared" ca="1" si="1"/>
        <v/>
      </c>
      <c r="Q7" s="168" t="str">
        <f t="shared" ca="1" si="1"/>
        <v/>
      </c>
      <c r="R7" s="168" t="str">
        <f t="shared" ca="1" si="1"/>
        <v/>
      </c>
      <c r="S7" s="168" t="str">
        <f t="shared" ca="1" si="1"/>
        <v/>
      </c>
      <c r="T7" s="168" t="str">
        <f t="shared" ca="1" si="1"/>
        <v/>
      </c>
      <c r="U7" s="168" t="str">
        <f t="shared" ca="1" si="1"/>
        <v/>
      </c>
      <c r="V7" s="168" t="str">
        <f t="shared" ca="1" si="1"/>
        <v/>
      </c>
      <c r="W7" s="168" t="str">
        <f t="shared" ca="1" si="1"/>
        <v/>
      </c>
      <c r="X7" s="168" t="str">
        <f t="shared" ca="1" si="1"/>
        <v/>
      </c>
      <c r="Y7" s="168" t="str">
        <f t="shared" ca="1" si="1"/>
        <v/>
      </c>
      <c r="Z7" s="168" t="str">
        <f t="shared" ca="1" si="1"/>
        <v/>
      </c>
      <c r="AA7" s="168" t="str">
        <f t="shared" ca="1" si="1"/>
        <v/>
      </c>
      <c r="AB7" s="168" t="str">
        <f t="shared" ca="1" si="2"/>
        <v/>
      </c>
      <c r="AC7" s="168" t="str">
        <f t="shared" ca="1" si="2"/>
        <v/>
      </c>
      <c r="AD7" s="168" t="str">
        <f t="shared" ca="1" si="2"/>
        <v/>
      </c>
      <c r="AE7" s="168" t="str">
        <f t="shared" ca="1" si="2"/>
        <v/>
      </c>
      <c r="AF7" s="168" t="str">
        <f t="shared" ca="1" si="2"/>
        <v/>
      </c>
      <c r="AG7" s="168" t="str">
        <f t="shared" ca="1" si="2"/>
        <v/>
      </c>
      <c r="AH7" s="168" t="str">
        <f t="shared" ca="1" si="2"/>
        <v/>
      </c>
      <c r="AI7" s="168" t="str">
        <f t="shared" ca="1" si="2"/>
        <v/>
      </c>
    </row>
    <row r="8" spans="1:35" ht="15" x14ac:dyDescent="0.3">
      <c r="A8" s="189">
        <v>4</v>
      </c>
      <c r="B8" s="189" t="str">
        <f ca="1">OFFSET('Matriz de Riesgos'!$F$14,H8,0)</f>
        <v>4-DN</v>
      </c>
      <c r="C8" s="189" t="str">
        <f ca="1">OFFSET('Matriz de Riesgos'!$G$8,H8,0)</f>
        <v>Que algún cliente reciba sobornos de cualquier forma</v>
      </c>
      <c r="D8" s="190">
        <f ca="1">OFFSET('Matriz de Riesgos'!$V$8,H8,0)</f>
        <v>1</v>
      </c>
      <c r="E8" s="190">
        <f ca="1">OFFSET('Matriz de Riesgos'!$W$8,H8,0)</f>
        <v>3</v>
      </c>
      <c r="F8" s="191">
        <f t="shared" ca="1" si="3"/>
        <v>3</v>
      </c>
      <c r="G8" s="168" t="str">
        <f t="shared" ca="1" si="4"/>
        <v>13</v>
      </c>
      <c r="H8" s="168">
        <f t="shared" ref="H8:H54" si="6">H7+11</f>
        <v>33</v>
      </c>
      <c r="J8" s="201">
        <v>4</v>
      </c>
      <c r="K8" s="168" t="str">
        <f t="shared" ca="1" si="5"/>
        <v/>
      </c>
      <c r="L8" s="168" t="str">
        <f t="shared" ca="1" si="1"/>
        <v/>
      </c>
      <c r="M8" s="168" t="str">
        <f t="shared" ca="1" si="1"/>
        <v>4-DN;</v>
      </c>
      <c r="N8" s="168" t="str">
        <f t="shared" ca="1" si="1"/>
        <v/>
      </c>
      <c r="O8" s="168" t="str">
        <f t="shared" ca="1" si="1"/>
        <v/>
      </c>
      <c r="P8" s="168" t="str">
        <f t="shared" ca="1" si="1"/>
        <v/>
      </c>
      <c r="Q8" s="168" t="str">
        <f t="shared" ca="1" si="1"/>
        <v/>
      </c>
      <c r="R8" s="168" t="str">
        <f t="shared" ca="1" si="1"/>
        <v/>
      </c>
      <c r="S8" s="168" t="str">
        <f t="shared" ca="1" si="1"/>
        <v/>
      </c>
      <c r="T8" s="168" t="str">
        <f t="shared" ca="1" si="1"/>
        <v/>
      </c>
      <c r="U8" s="168" t="str">
        <f t="shared" ca="1" si="1"/>
        <v/>
      </c>
      <c r="V8" s="168" t="str">
        <f t="shared" ca="1" si="1"/>
        <v/>
      </c>
      <c r="W8" s="168" t="str">
        <f t="shared" ca="1" si="1"/>
        <v/>
      </c>
      <c r="X8" s="168" t="str">
        <f t="shared" ca="1" si="1"/>
        <v/>
      </c>
      <c r="Y8" s="168" t="str">
        <f t="shared" ca="1" si="1"/>
        <v/>
      </c>
      <c r="Z8" s="168" t="str">
        <f t="shared" ca="1" si="1"/>
        <v/>
      </c>
      <c r="AA8" s="168" t="str">
        <f t="shared" ca="1" si="1"/>
        <v/>
      </c>
      <c r="AB8" s="168" t="str">
        <f t="shared" ca="1" si="2"/>
        <v/>
      </c>
      <c r="AC8" s="168" t="str">
        <f t="shared" ca="1" si="2"/>
        <v/>
      </c>
      <c r="AD8" s="168" t="str">
        <f t="shared" ca="1" si="2"/>
        <v/>
      </c>
      <c r="AE8" s="168" t="str">
        <f t="shared" ca="1" si="2"/>
        <v/>
      </c>
      <c r="AF8" s="168" t="str">
        <f t="shared" ca="1" si="2"/>
        <v/>
      </c>
      <c r="AG8" s="168" t="str">
        <f t="shared" ca="1" si="2"/>
        <v/>
      </c>
      <c r="AH8" s="168" t="str">
        <f t="shared" ca="1" si="2"/>
        <v/>
      </c>
      <c r="AI8" s="168" t="str">
        <f t="shared" ca="1" si="2"/>
        <v/>
      </c>
    </row>
    <row r="9" spans="1:35" ht="15" x14ac:dyDescent="0.3">
      <c r="A9" s="189">
        <v>5</v>
      </c>
      <c r="B9" s="189" t="str">
        <f ca="1">OFFSET('Matriz de Riesgos'!$F$14,H9,0)</f>
        <v>5-RS</v>
      </c>
      <c r="C9" s="189" t="str">
        <f ca="1">OFFSET('Matriz de Riesgos'!$G$8,H9,0)</f>
        <v>Que algún empleado reciba sobornos de cualquier forma</v>
      </c>
      <c r="D9" s="190">
        <f ca="1">OFFSET('Matriz de Riesgos'!$V$8,H9,0)</f>
        <v>2</v>
      </c>
      <c r="E9" s="190">
        <f ca="1">OFFSET('Matriz de Riesgos'!$W$8,H9,0)</f>
        <v>3</v>
      </c>
      <c r="F9" s="191">
        <f t="shared" ca="1" si="3"/>
        <v>6</v>
      </c>
      <c r="G9" s="168" t="str">
        <f t="shared" ca="1" si="4"/>
        <v>23</v>
      </c>
      <c r="H9" s="168">
        <f t="shared" si="6"/>
        <v>44</v>
      </c>
      <c r="J9" s="201">
        <v>5</v>
      </c>
      <c r="K9" s="168" t="str">
        <f t="shared" ca="1" si="5"/>
        <v/>
      </c>
      <c r="L9" s="168" t="str">
        <f t="shared" ca="1" si="1"/>
        <v/>
      </c>
      <c r="M9" s="168" t="str">
        <f t="shared" ca="1" si="1"/>
        <v/>
      </c>
      <c r="N9" s="168" t="str">
        <f t="shared" ca="1" si="1"/>
        <v/>
      </c>
      <c r="O9" s="168" t="str">
        <f t="shared" ca="1" si="1"/>
        <v/>
      </c>
      <c r="P9" s="168" t="str">
        <f t="shared" ca="1" si="1"/>
        <v/>
      </c>
      <c r="Q9" s="168" t="str">
        <f t="shared" ca="1" si="1"/>
        <v/>
      </c>
      <c r="R9" s="168" t="str">
        <f t="shared" ca="1" si="1"/>
        <v>5-RS;</v>
      </c>
      <c r="S9" s="168" t="str">
        <f t="shared" ca="1" si="1"/>
        <v/>
      </c>
      <c r="T9" s="168" t="str">
        <f t="shared" ca="1" si="1"/>
        <v/>
      </c>
      <c r="U9" s="168" t="str">
        <f t="shared" ca="1" si="1"/>
        <v/>
      </c>
      <c r="V9" s="168" t="str">
        <f t="shared" ca="1" si="1"/>
        <v/>
      </c>
      <c r="W9" s="168" t="str">
        <f t="shared" ca="1" si="1"/>
        <v/>
      </c>
      <c r="X9" s="168" t="str">
        <f t="shared" ca="1" si="1"/>
        <v/>
      </c>
      <c r="Y9" s="168" t="str">
        <f t="shared" ca="1" si="1"/>
        <v/>
      </c>
      <c r="Z9" s="168" t="str">
        <f t="shared" ca="1" si="1"/>
        <v/>
      </c>
      <c r="AA9" s="168" t="str">
        <f t="shared" ca="1" si="1"/>
        <v/>
      </c>
      <c r="AB9" s="168" t="str">
        <f t="shared" ca="1" si="2"/>
        <v/>
      </c>
      <c r="AC9" s="168" t="str">
        <f t="shared" ca="1" si="2"/>
        <v/>
      </c>
      <c r="AD9" s="168" t="str">
        <f t="shared" ca="1" si="2"/>
        <v/>
      </c>
      <c r="AE9" s="168" t="str">
        <f t="shared" ca="1" si="2"/>
        <v/>
      </c>
      <c r="AF9" s="168" t="str">
        <f t="shared" ca="1" si="2"/>
        <v/>
      </c>
      <c r="AG9" s="168" t="str">
        <f t="shared" ca="1" si="2"/>
        <v/>
      </c>
      <c r="AH9" s="168" t="str">
        <f t="shared" ca="1" si="2"/>
        <v/>
      </c>
      <c r="AI9" s="168" t="str">
        <f t="shared" ca="1" si="2"/>
        <v/>
      </c>
    </row>
    <row r="10" spans="1:35" ht="15" x14ac:dyDescent="0.3">
      <c r="A10" s="189">
        <v>6</v>
      </c>
      <c r="B10" s="189" t="str">
        <f ca="1">OFFSET('Matriz de Riesgos'!$F$14,H10,0)</f>
        <v>6-DN</v>
      </c>
      <c r="C10" s="189" t="s">
        <v>285</v>
      </c>
      <c r="D10" s="190">
        <f ca="1">OFFSET('Matriz de Riesgos'!$V$8,H10,0)</f>
        <v>1</v>
      </c>
      <c r="E10" s="190">
        <f ca="1">OFFSET('Matriz de Riesgos'!$W$8,H10,0)</f>
        <v>3</v>
      </c>
      <c r="F10" s="191">
        <f t="shared" ca="1" si="3"/>
        <v>3</v>
      </c>
      <c r="G10" s="168" t="str">
        <f t="shared" ca="1" si="4"/>
        <v>13</v>
      </c>
      <c r="H10" s="168">
        <f t="shared" si="6"/>
        <v>55</v>
      </c>
      <c r="J10" s="201">
        <v>6</v>
      </c>
      <c r="K10" s="168" t="str">
        <f t="shared" ca="1" si="5"/>
        <v/>
      </c>
      <c r="L10" s="168" t="str">
        <f t="shared" ca="1" si="1"/>
        <v/>
      </c>
      <c r="M10" s="168" t="str">
        <f t="shared" ca="1" si="1"/>
        <v>6-DN;</v>
      </c>
      <c r="N10" s="168" t="str">
        <f t="shared" ca="1" si="1"/>
        <v/>
      </c>
      <c r="O10" s="168" t="str">
        <f t="shared" ca="1" si="1"/>
        <v/>
      </c>
      <c r="P10" s="168" t="str">
        <f t="shared" ca="1" si="1"/>
        <v/>
      </c>
      <c r="Q10" s="168" t="str">
        <f t="shared" ca="1" si="1"/>
        <v/>
      </c>
      <c r="R10" s="168" t="str">
        <f t="shared" ca="1" si="1"/>
        <v/>
      </c>
      <c r="S10" s="168" t="str">
        <f t="shared" ca="1" si="1"/>
        <v/>
      </c>
      <c r="T10" s="168" t="str">
        <f t="shared" ca="1" si="1"/>
        <v/>
      </c>
      <c r="U10" s="168" t="str">
        <f t="shared" ca="1" si="1"/>
        <v/>
      </c>
      <c r="V10" s="168" t="str">
        <f t="shared" ca="1" si="1"/>
        <v/>
      </c>
      <c r="W10" s="168" t="str">
        <f t="shared" ca="1" si="1"/>
        <v/>
      </c>
      <c r="X10" s="168" t="str">
        <f t="shared" ca="1" si="1"/>
        <v/>
      </c>
      <c r="Y10" s="168" t="str">
        <f t="shared" ca="1" si="1"/>
        <v/>
      </c>
      <c r="Z10" s="168" t="str">
        <f t="shared" ca="1" si="1"/>
        <v/>
      </c>
      <c r="AA10" s="168" t="str">
        <f t="shared" ca="1" si="1"/>
        <v/>
      </c>
      <c r="AB10" s="168" t="str">
        <f t="shared" ca="1" si="2"/>
        <v/>
      </c>
      <c r="AC10" s="168" t="str">
        <f t="shared" ca="1" si="2"/>
        <v/>
      </c>
      <c r="AD10" s="168" t="str">
        <f t="shared" ca="1" si="2"/>
        <v/>
      </c>
      <c r="AE10" s="168" t="str">
        <f t="shared" ca="1" si="2"/>
        <v/>
      </c>
      <c r="AF10" s="168" t="str">
        <f t="shared" ca="1" si="2"/>
        <v/>
      </c>
      <c r="AG10" s="168" t="str">
        <f t="shared" ca="1" si="2"/>
        <v/>
      </c>
      <c r="AH10" s="168" t="str">
        <f t="shared" ca="1" si="2"/>
        <v/>
      </c>
      <c r="AI10" s="168" t="str">
        <f t="shared" ca="1" si="2"/>
        <v/>
      </c>
    </row>
    <row r="11" spans="1:35" ht="15" x14ac:dyDescent="0.3">
      <c r="A11" s="189">
        <v>7</v>
      </c>
      <c r="B11" s="189" t="str">
        <f ca="1">OFFSET('Matriz de Riesgos'!$F$14,H11,0)</f>
        <v>7-CU</v>
      </c>
      <c r="C11" s="189" t="str">
        <f ca="1">OFFSET('Matriz de Riesgos'!$G$8,H11,0)</f>
        <v>Desconocer que las caracteristicas propias del servicio prestado a un cliente o proveedor favorezcan actividades de Soborno</v>
      </c>
      <c r="D11" s="190">
        <f ca="1">OFFSET('Matriz de Riesgos'!$V$8,H11,0)</f>
        <v>1</v>
      </c>
      <c r="E11" s="190">
        <f ca="1">OFFSET('Matriz de Riesgos'!$W$8,H11,0)</f>
        <v>3</v>
      </c>
      <c r="F11" s="191">
        <f t="shared" ca="1" si="3"/>
        <v>3</v>
      </c>
      <c r="G11" s="168" t="str">
        <f t="shared" ca="1" si="4"/>
        <v>13</v>
      </c>
      <c r="H11" s="168">
        <f t="shared" si="6"/>
        <v>66</v>
      </c>
      <c r="J11" s="201">
        <v>7</v>
      </c>
      <c r="K11" s="168" t="str">
        <f t="shared" ca="1" si="5"/>
        <v/>
      </c>
      <c r="L11" s="168" t="str">
        <f t="shared" ca="1" si="1"/>
        <v/>
      </c>
      <c r="M11" s="168" t="str">
        <f t="shared" ca="1" si="1"/>
        <v>7-CU;</v>
      </c>
      <c r="N11" s="168" t="str">
        <f t="shared" ca="1" si="1"/>
        <v/>
      </c>
      <c r="O11" s="168" t="str">
        <f t="shared" ca="1" si="1"/>
        <v/>
      </c>
      <c r="P11" s="168" t="str">
        <f t="shared" ca="1" si="1"/>
        <v/>
      </c>
      <c r="Q11" s="168" t="str">
        <f t="shared" ca="1" si="1"/>
        <v/>
      </c>
      <c r="R11" s="168" t="str">
        <f t="shared" ca="1" si="1"/>
        <v/>
      </c>
      <c r="S11" s="168" t="str">
        <f t="shared" ca="1" si="1"/>
        <v/>
      </c>
      <c r="T11" s="168" t="str">
        <f t="shared" ca="1" si="1"/>
        <v/>
      </c>
      <c r="U11" s="168" t="str">
        <f t="shared" ca="1" si="1"/>
        <v/>
      </c>
      <c r="V11" s="168" t="str">
        <f t="shared" ca="1" si="1"/>
        <v/>
      </c>
      <c r="W11" s="168" t="str">
        <f t="shared" ca="1" si="1"/>
        <v/>
      </c>
      <c r="X11" s="168" t="str">
        <f t="shared" ca="1" si="1"/>
        <v/>
      </c>
      <c r="Y11" s="168" t="str">
        <f t="shared" ca="1" si="1"/>
        <v/>
      </c>
      <c r="Z11" s="168" t="str">
        <f t="shared" ca="1" si="1"/>
        <v/>
      </c>
      <c r="AA11" s="168" t="str">
        <f t="shared" ca="1" si="1"/>
        <v/>
      </c>
      <c r="AB11" s="168" t="str">
        <f t="shared" ca="1" si="2"/>
        <v/>
      </c>
      <c r="AC11" s="168" t="str">
        <f t="shared" ca="1" si="2"/>
        <v/>
      </c>
      <c r="AD11" s="168" t="str">
        <f t="shared" ca="1" si="2"/>
        <v/>
      </c>
      <c r="AE11" s="168" t="str">
        <f t="shared" ca="1" si="2"/>
        <v/>
      </c>
      <c r="AF11" s="168" t="str">
        <f t="shared" ca="1" si="2"/>
        <v/>
      </c>
      <c r="AG11" s="168" t="str">
        <f t="shared" ca="1" si="2"/>
        <v/>
      </c>
      <c r="AH11" s="168" t="str">
        <f t="shared" ca="1" si="2"/>
        <v/>
      </c>
      <c r="AI11" s="168" t="str">
        <f t="shared" ca="1" si="2"/>
        <v/>
      </c>
    </row>
    <row r="12" spans="1:35" ht="15" x14ac:dyDescent="0.3">
      <c r="A12" s="189">
        <v>8</v>
      </c>
      <c r="B12" s="189" t="str">
        <f ca="1">OFFSET('Matriz de Riesgos'!$F$14,H12,0)</f>
        <v>8-CC</v>
      </c>
      <c r="C12" s="189" t="str">
        <f ca="1">OFFSET('Matriz de Riesgos'!$G$8,H12,0)</f>
        <v>Que se realice inadvertidamente pagos a un proveedor vinculado con actividades de Soborno</v>
      </c>
      <c r="D12" s="190">
        <f ca="1">OFFSET('Matriz de Riesgos'!$V$8,H12,0)</f>
        <v>1</v>
      </c>
      <c r="E12" s="190">
        <f ca="1">OFFSET('Matriz de Riesgos'!$W$8,H12,0)</f>
        <v>3</v>
      </c>
      <c r="F12" s="191">
        <f t="shared" ca="1" si="3"/>
        <v>3</v>
      </c>
      <c r="G12" s="168" t="str">
        <f t="shared" ca="1" si="4"/>
        <v>13</v>
      </c>
      <c r="H12" s="168">
        <f t="shared" si="6"/>
        <v>77</v>
      </c>
      <c r="J12" s="201">
        <v>8</v>
      </c>
      <c r="K12" s="168" t="str">
        <f t="shared" ca="1" si="5"/>
        <v/>
      </c>
      <c r="L12" s="168" t="str">
        <f t="shared" ca="1" si="1"/>
        <v/>
      </c>
      <c r="M12" s="168" t="str">
        <f t="shared" ca="1" si="1"/>
        <v>8-CC;</v>
      </c>
      <c r="N12" s="168" t="str">
        <f t="shared" ca="1" si="1"/>
        <v/>
      </c>
      <c r="O12" s="168" t="str">
        <f t="shared" ca="1" si="1"/>
        <v/>
      </c>
      <c r="P12" s="168" t="str">
        <f t="shared" ca="1" si="1"/>
        <v/>
      </c>
      <c r="Q12" s="168" t="str">
        <f t="shared" ca="1" si="1"/>
        <v/>
      </c>
      <c r="R12" s="168" t="str">
        <f t="shared" ca="1" si="1"/>
        <v/>
      </c>
      <c r="S12" s="168" t="str">
        <f t="shared" ca="1" si="1"/>
        <v/>
      </c>
      <c r="T12" s="168" t="str">
        <f t="shared" ca="1" si="1"/>
        <v/>
      </c>
      <c r="U12" s="168" t="str">
        <f t="shared" ca="1" si="1"/>
        <v/>
      </c>
      <c r="V12" s="168" t="str">
        <f t="shared" ca="1" si="1"/>
        <v/>
      </c>
      <c r="W12" s="168" t="str">
        <f t="shared" ca="1" si="1"/>
        <v/>
      </c>
      <c r="X12" s="168" t="str">
        <f t="shared" ca="1" si="1"/>
        <v/>
      </c>
      <c r="Y12" s="168" t="str">
        <f t="shared" ca="1" si="1"/>
        <v/>
      </c>
      <c r="Z12" s="168" t="str">
        <f t="shared" ca="1" si="1"/>
        <v/>
      </c>
      <c r="AA12" s="168" t="str">
        <f t="shared" ca="1" si="1"/>
        <v/>
      </c>
      <c r="AB12" s="168" t="str">
        <f t="shared" ca="1" si="2"/>
        <v/>
      </c>
      <c r="AC12" s="168" t="str">
        <f t="shared" ca="1" si="2"/>
        <v/>
      </c>
      <c r="AD12" s="168" t="str">
        <f t="shared" ca="1" si="2"/>
        <v/>
      </c>
      <c r="AE12" s="168" t="str">
        <f t="shared" ca="1" si="2"/>
        <v/>
      </c>
      <c r="AF12" s="168" t="str">
        <f t="shared" ca="1" si="2"/>
        <v/>
      </c>
      <c r="AG12" s="168" t="str">
        <f t="shared" ca="1" si="2"/>
        <v/>
      </c>
      <c r="AH12" s="168" t="str">
        <f t="shared" ca="1" si="2"/>
        <v/>
      </c>
      <c r="AI12" s="168" t="str">
        <f t="shared" ca="1" si="2"/>
        <v/>
      </c>
    </row>
    <row r="13" spans="1:35" ht="15" x14ac:dyDescent="0.3">
      <c r="A13" s="189">
        <v>9</v>
      </c>
      <c r="B13" s="189">
        <f ca="1">OFFSET('Matriz de Riesgos'!$F$14,H13,0)</f>
        <v>0</v>
      </c>
      <c r="C13" s="189">
        <f ca="1">OFFSET('Matriz de Riesgos'!$G$8,H13,0)</f>
        <v>0</v>
      </c>
      <c r="D13" s="190">
        <f ca="1">OFFSET('Matriz de Riesgos'!$V$8,H13,0)</f>
        <v>0</v>
      </c>
      <c r="E13" s="190">
        <f ca="1">OFFSET('Matriz de Riesgos'!$W$8,H13,0)</f>
        <v>0</v>
      </c>
      <c r="F13" s="191">
        <f t="shared" ca="1" si="3"/>
        <v>0</v>
      </c>
      <c r="G13" s="168" t="str">
        <f t="shared" ca="1" si="4"/>
        <v>00</v>
      </c>
      <c r="H13" s="168">
        <f t="shared" si="6"/>
        <v>88</v>
      </c>
      <c r="J13" s="201">
        <v>9</v>
      </c>
      <c r="K13" s="168" t="str">
        <f t="shared" ca="1" si="5"/>
        <v/>
      </c>
      <c r="L13" s="168" t="str">
        <f t="shared" ca="1" si="1"/>
        <v/>
      </c>
      <c r="M13" s="168" t="str">
        <f t="shared" ca="1" si="1"/>
        <v/>
      </c>
      <c r="N13" s="168" t="str">
        <f t="shared" ca="1" si="1"/>
        <v/>
      </c>
      <c r="O13" s="168" t="str">
        <f t="shared" ca="1" si="1"/>
        <v/>
      </c>
      <c r="P13" s="168" t="str">
        <f t="shared" ca="1" si="1"/>
        <v/>
      </c>
      <c r="Q13" s="168" t="str">
        <f t="shared" ca="1" si="1"/>
        <v/>
      </c>
      <c r="R13" s="168" t="str">
        <f t="shared" ca="1" si="1"/>
        <v/>
      </c>
      <c r="S13" s="168" t="str">
        <f t="shared" ca="1" si="1"/>
        <v/>
      </c>
      <c r="T13" s="168" t="str">
        <f t="shared" ca="1" si="1"/>
        <v/>
      </c>
      <c r="U13" s="168" t="str">
        <f t="shared" ca="1" si="1"/>
        <v/>
      </c>
      <c r="V13" s="168" t="str">
        <f t="shared" ca="1" si="1"/>
        <v/>
      </c>
      <c r="W13" s="168" t="str">
        <f t="shared" ca="1" si="1"/>
        <v/>
      </c>
      <c r="X13" s="168" t="str">
        <f t="shared" ca="1" si="1"/>
        <v/>
      </c>
      <c r="Y13" s="168" t="str">
        <f t="shared" ca="1" si="1"/>
        <v/>
      </c>
      <c r="Z13" s="168" t="str">
        <f t="shared" ca="1" si="1"/>
        <v/>
      </c>
      <c r="AA13" s="168" t="str">
        <f t="shared" ca="1" si="1"/>
        <v/>
      </c>
      <c r="AB13" s="168" t="str">
        <f t="shared" ca="1" si="2"/>
        <v/>
      </c>
      <c r="AC13" s="168" t="str">
        <f t="shared" ca="1" si="2"/>
        <v/>
      </c>
      <c r="AD13" s="168" t="str">
        <f t="shared" ca="1" si="2"/>
        <v/>
      </c>
      <c r="AE13" s="168" t="str">
        <f t="shared" ca="1" si="2"/>
        <v/>
      </c>
      <c r="AF13" s="168" t="str">
        <f t="shared" ca="1" si="2"/>
        <v/>
      </c>
      <c r="AG13" s="168" t="str">
        <f t="shared" ca="1" si="2"/>
        <v/>
      </c>
      <c r="AH13" s="168" t="str">
        <f t="shared" ca="1" si="2"/>
        <v/>
      </c>
      <c r="AI13" s="168" t="str">
        <f t="shared" ca="1" si="2"/>
        <v/>
      </c>
    </row>
    <row r="14" spans="1:35" ht="15" x14ac:dyDescent="0.3">
      <c r="A14" s="189">
        <v>10</v>
      </c>
      <c r="B14" s="189">
        <f ca="1">OFFSET('Matriz de Riesgos'!$F$14,H14,0)</f>
        <v>0</v>
      </c>
      <c r="C14" s="189">
        <f ca="1">OFFSET('Matriz de Riesgos'!$G$8,H14,0)</f>
        <v>0</v>
      </c>
      <c r="D14" s="190">
        <f ca="1">OFFSET('Matriz de Riesgos'!$V$8,H14,0)</f>
        <v>0</v>
      </c>
      <c r="E14" s="190">
        <f ca="1">OFFSET('Matriz de Riesgos'!$W$8,H14,0)</f>
        <v>0</v>
      </c>
      <c r="F14" s="191">
        <f t="shared" ca="1" si="3"/>
        <v>0</v>
      </c>
      <c r="G14" s="168" t="str">
        <f t="shared" ca="1" si="4"/>
        <v>00</v>
      </c>
      <c r="H14" s="168">
        <f t="shared" si="6"/>
        <v>99</v>
      </c>
      <c r="J14" s="201">
        <v>10</v>
      </c>
      <c r="K14" s="168" t="str">
        <f t="shared" ca="1" si="5"/>
        <v/>
      </c>
      <c r="L14" s="168" t="str">
        <f t="shared" ca="1" si="1"/>
        <v/>
      </c>
      <c r="M14" s="168" t="str">
        <f t="shared" ca="1" si="1"/>
        <v/>
      </c>
      <c r="N14" s="168" t="str">
        <f t="shared" ca="1" si="1"/>
        <v/>
      </c>
      <c r="O14" s="168" t="str">
        <f t="shared" ca="1" si="1"/>
        <v/>
      </c>
      <c r="P14" s="168" t="str">
        <f t="shared" ca="1" si="1"/>
        <v/>
      </c>
      <c r="Q14" s="168" t="str">
        <f t="shared" ca="1" si="1"/>
        <v/>
      </c>
      <c r="R14" s="168" t="str">
        <f t="shared" ca="1" si="1"/>
        <v/>
      </c>
      <c r="S14" s="168" t="str">
        <f t="shared" ca="1" si="1"/>
        <v/>
      </c>
      <c r="T14" s="168" t="str">
        <f t="shared" ca="1" si="1"/>
        <v/>
      </c>
      <c r="U14" s="168" t="str">
        <f t="shared" ca="1" si="1"/>
        <v/>
      </c>
      <c r="V14" s="168" t="str">
        <f t="shared" ca="1" si="1"/>
        <v/>
      </c>
      <c r="W14" s="168" t="str">
        <f t="shared" ca="1" si="1"/>
        <v/>
      </c>
      <c r="X14" s="168" t="str">
        <f t="shared" ca="1" si="1"/>
        <v/>
      </c>
      <c r="Y14" s="168" t="str">
        <f t="shared" ca="1" si="1"/>
        <v/>
      </c>
      <c r="Z14" s="168" t="str">
        <f t="shared" ca="1" si="1"/>
        <v/>
      </c>
      <c r="AA14" s="168" t="str">
        <f t="shared" ca="1" si="1"/>
        <v/>
      </c>
      <c r="AB14" s="168" t="str">
        <f t="shared" ca="1" si="2"/>
        <v/>
      </c>
      <c r="AC14" s="168" t="str">
        <f t="shared" ca="1" si="2"/>
        <v/>
      </c>
      <c r="AD14" s="168" t="str">
        <f t="shared" ca="1" si="2"/>
        <v/>
      </c>
      <c r="AE14" s="168" t="str">
        <f t="shared" ca="1" si="2"/>
        <v/>
      </c>
      <c r="AF14" s="168" t="str">
        <f t="shared" ca="1" si="2"/>
        <v/>
      </c>
      <c r="AG14" s="168" t="str">
        <f t="shared" ca="1" si="2"/>
        <v/>
      </c>
      <c r="AH14" s="168" t="str">
        <f t="shared" ca="1" si="2"/>
        <v/>
      </c>
      <c r="AI14" s="168" t="str">
        <f t="shared" ca="1" si="2"/>
        <v/>
      </c>
    </row>
    <row r="15" spans="1:35" ht="15" x14ac:dyDescent="0.3">
      <c r="A15" s="189">
        <v>11</v>
      </c>
      <c r="B15" s="189">
        <f ca="1">OFFSET('Matriz de Riesgos'!$F$14,H15,0)</f>
        <v>0</v>
      </c>
      <c r="C15" s="189">
        <f ca="1">OFFSET('Matriz de Riesgos'!$G$8,H15,0)</f>
        <v>0</v>
      </c>
      <c r="D15" s="190">
        <f ca="1">OFFSET('Matriz de Riesgos'!$V$8,H15,0)</f>
        <v>0</v>
      </c>
      <c r="E15" s="190">
        <f ca="1">OFFSET('Matriz de Riesgos'!$W$8,H15,0)</f>
        <v>0</v>
      </c>
      <c r="F15" s="191">
        <f t="shared" ca="1" si="3"/>
        <v>0</v>
      </c>
      <c r="G15" s="168" t="str">
        <f t="shared" ca="1" si="4"/>
        <v>00</v>
      </c>
      <c r="H15" s="168">
        <f t="shared" si="6"/>
        <v>110</v>
      </c>
      <c r="J15" s="201">
        <v>11</v>
      </c>
      <c r="K15" s="168" t="str">
        <f t="shared" ca="1" si="5"/>
        <v/>
      </c>
      <c r="L15" s="168" t="str">
        <f t="shared" ca="1" si="1"/>
        <v/>
      </c>
      <c r="M15" s="168" t="str">
        <f t="shared" ca="1" si="1"/>
        <v/>
      </c>
      <c r="N15" s="168" t="str">
        <f t="shared" ca="1" si="1"/>
        <v/>
      </c>
      <c r="O15" s="168" t="str">
        <f t="shared" ca="1" si="1"/>
        <v/>
      </c>
      <c r="P15" s="168" t="str">
        <f t="shared" ca="1" si="1"/>
        <v/>
      </c>
      <c r="Q15" s="168" t="str">
        <f t="shared" ca="1" si="1"/>
        <v/>
      </c>
      <c r="R15" s="168" t="str">
        <f t="shared" ca="1" si="1"/>
        <v/>
      </c>
      <c r="S15" s="168" t="str">
        <f t="shared" ca="1" si="1"/>
        <v/>
      </c>
      <c r="T15" s="168" t="str">
        <f t="shared" ca="1" si="1"/>
        <v/>
      </c>
      <c r="U15" s="168" t="str">
        <f t="shared" ca="1" si="1"/>
        <v/>
      </c>
      <c r="V15" s="168" t="str">
        <f t="shared" ca="1" si="1"/>
        <v/>
      </c>
      <c r="W15" s="168" t="str">
        <f t="shared" ca="1" si="1"/>
        <v/>
      </c>
      <c r="X15" s="168" t="str">
        <f t="shared" ca="1" si="1"/>
        <v/>
      </c>
      <c r="Y15" s="168" t="str">
        <f t="shared" ca="1" si="1"/>
        <v/>
      </c>
      <c r="Z15" s="168" t="str">
        <f t="shared" ca="1" si="1"/>
        <v/>
      </c>
      <c r="AA15" s="168" t="str">
        <f t="shared" ca="1" si="1"/>
        <v/>
      </c>
      <c r="AB15" s="168" t="str">
        <f t="shared" ca="1" si="2"/>
        <v/>
      </c>
      <c r="AC15" s="168" t="str">
        <f t="shared" ca="1" si="2"/>
        <v/>
      </c>
      <c r="AD15" s="168" t="str">
        <f t="shared" ca="1" si="2"/>
        <v/>
      </c>
      <c r="AE15" s="168" t="str">
        <f t="shared" ca="1" si="2"/>
        <v/>
      </c>
      <c r="AF15" s="168" t="str">
        <f t="shared" ca="1" si="2"/>
        <v/>
      </c>
      <c r="AG15" s="168" t="str">
        <f t="shared" ca="1" si="2"/>
        <v/>
      </c>
      <c r="AH15" s="168" t="str">
        <f t="shared" ca="1" si="2"/>
        <v/>
      </c>
      <c r="AI15" s="168" t="str">
        <f t="shared" ca="1" si="2"/>
        <v/>
      </c>
    </row>
    <row r="16" spans="1:35" ht="15" x14ac:dyDescent="0.3">
      <c r="A16" s="189">
        <v>12</v>
      </c>
      <c r="B16" s="189">
        <f ca="1">OFFSET('Matriz de Riesgos'!$F$14,H16,0)</f>
        <v>0</v>
      </c>
      <c r="C16" s="189">
        <f ca="1">OFFSET('Matriz de Riesgos'!$G$8,H16,0)</f>
        <v>0</v>
      </c>
      <c r="D16" s="190">
        <f ca="1">OFFSET('Matriz de Riesgos'!$V$8,H16,0)</f>
        <v>0</v>
      </c>
      <c r="E16" s="190">
        <f ca="1">OFFSET('Matriz de Riesgos'!$W$8,H16,0)</f>
        <v>0</v>
      </c>
      <c r="F16" s="191">
        <f t="shared" ca="1" si="3"/>
        <v>0</v>
      </c>
      <c r="G16" s="168" t="str">
        <f t="shared" ca="1" si="4"/>
        <v>00</v>
      </c>
      <c r="H16" s="168">
        <f t="shared" si="6"/>
        <v>121</v>
      </c>
      <c r="J16" s="201">
        <v>12</v>
      </c>
      <c r="K16" s="168" t="str">
        <f t="shared" ca="1" si="5"/>
        <v/>
      </c>
      <c r="L16" s="168" t="str">
        <f t="shared" ca="1" si="1"/>
        <v/>
      </c>
      <c r="M16" s="168" t="str">
        <f t="shared" ca="1" si="1"/>
        <v/>
      </c>
      <c r="N16" s="168" t="str">
        <f t="shared" ca="1" si="1"/>
        <v/>
      </c>
      <c r="O16" s="168" t="str">
        <f t="shared" ca="1" si="1"/>
        <v/>
      </c>
      <c r="P16" s="168" t="str">
        <f t="shared" ca="1" si="1"/>
        <v/>
      </c>
      <c r="Q16" s="168" t="str">
        <f t="shared" ca="1" si="1"/>
        <v/>
      </c>
      <c r="R16" s="168" t="str">
        <f t="shared" ca="1" si="1"/>
        <v/>
      </c>
      <c r="S16" s="168" t="str">
        <f t="shared" ca="1" si="1"/>
        <v/>
      </c>
      <c r="T16" s="168" t="str">
        <f t="shared" ca="1" si="1"/>
        <v/>
      </c>
      <c r="U16" s="168" t="str">
        <f t="shared" ca="1" si="1"/>
        <v/>
      </c>
      <c r="V16" s="168" t="str">
        <f t="shared" ca="1" si="1"/>
        <v/>
      </c>
      <c r="W16" s="168" t="str">
        <f t="shared" ca="1" si="1"/>
        <v/>
      </c>
      <c r="X16" s="168" t="str">
        <f t="shared" ca="1" si="1"/>
        <v/>
      </c>
      <c r="Y16" s="168" t="str">
        <f t="shared" ca="1" si="1"/>
        <v/>
      </c>
      <c r="Z16" s="168" t="str">
        <f t="shared" ca="1" si="1"/>
        <v/>
      </c>
      <c r="AA16" s="168" t="str">
        <f t="shared" ca="1" si="1"/>
        <v/>
      </c>
      <c r="AB16" s="168" t="str">
        <f t="shared" ca="1" si="2"/>
        <v/>
      </c>
      <c r="AC16" s="168" t="str">
        <f t="shared" ca="1" si="2"/>
        <v/>
      </c>
      <c r="AD16" s="168" t="str">
        <f t="shared" ca="1" si="2"/>
        <v/>
      </c>
      <c r="AE16" s="168" t="str">
        <f t="shared" ca="1" si="2"/>
        <v/>
      </c>
      <c r="AF16" s="168" t="str">
        <f t="shared" ca="1" si="2"/>
        <v/>
      </c>
      <c r="AG16" s="168" t="str">
        <f t="shared" ca="1" si="2"/>
        <v/>
      </c>
      <c r="AH16" s="168" t="str">
        <f t="shared" ca="1" si="2"/>
        <v/>
      </c>
      <c r="AI16" s="168" t="str">
        <f t="shared" ca="1" si="2"/>
        <v/>
      </c>
    </row>
    <row r="17" spans="1:35" ht="15" x14ac:dyDescent="0.3">
      <c r="A17" s="189">
        <v>13</v>
      </c>
      <c r="B17" s="189">
        <f ca="1">OFFSET('Matriz de Riesgos'!$F$14,H17,0)</f>
        <v>0</v>
      </c>
      <c r="C17" s="189">
        <f ca="1">OFFSET('Matriz de Riesgos'!$G$8,H17,0)</f>
        <v>0</v>
      </c>
      <c r="D17" s="190">
        <f ca="1">OFFSET('Matriz de Riesgos'!$V$8,H17,0)</f>
        <v>0</v>
      </c>
      <c r="E17" s="190">
        <f ca="1">OFFSET('Matriz de Riesgos'!$W$8,H17,0)</f>
        <v>0</v>
      </c>
      <c r="F17" s="191">
        <f t="shared" ca="1" si="3"/>
        <v>0</v>
      </c>
      <c r="G17" s="168" t="str">
        <f t="shared" ca="1" si="4"/>
        <v>00</v>
      </c>
      <c r="H17" s="168">
        <f t="shared" si="6"/>
        <v>132</v>
      </c>
      <c r="J17" s="201">
        <v>13</v>
      </c>
      <c r="K17" s="168" t="str">
        <f t="shared" ca="1" si="5"/>
        <v/>
      </c>
      <c r="L17" s="168" t="str">
        <f t="shared" ca="1" si="1"/>
        <v/>
      </c>
      <c r="M17" s="168" t="str">
        <f t="shared" ca="1" si="1"/>
        <v/>
      </c>
      <c r="N17" s="168" t="str">
        <f t="shared" ca="1" si="1"/>
        <v/>
      </c>
      <c r="O17" s="168" t="str">
        <f t="shared" ca="1" si="1"/>
        <v/>
      </c>
      <c r="P17" s="168" t="str">
        <f t="shared" ca="1" si="1"/>
        <v/>
      </c>
      <c r="Q17" s="168" t="str">
        <f t="shared" ca="1" si="1"/>
        <v/>
      </c>
      <c r="R17" s="168" t="str">
        <f t="shared" ca="1" si="1"/>
        <v/>
      </c>
      <c r="S17" s="168" t="str">
        <f t="shared" ca="1" si="1"/>
        <v/>
      </c>
      <c r="T17" s="168" t="str">
        <f t="shared" ca="1" si="1"/>
        <v/>
      </c>
      <c r="U17" s="168" t="str">
        <f t="shared" ca="1" si="1"/>
        <v/>
      </c>
      <c r="V17" s="168" t="str">
        <f t="shared" ca="1" si="1"/>
        <v/>
      </c>
      <c r="W17" s="168" t="str">
        <f t="shared" ca="1" si="1"/>
        <v/>
      </c>
      <c r="X17" s="168" t="str">
        <f t="shared" ca="1" si="1"/>
        <v/>
      </c>
      <c r="Y17" s="168" t="str">
        <f t="shared" ca="1" si="1"/>
        <v/>
      </c>
      <c r="Z17" s="168" t="str">
        <f t="shared" ca="1" si="1"/>
        <v/>
      </c>
      <c r="AA17" s="168" t="str">
        <f t="shared" ca="1" si="1"/>
        <v/>
      </c>
      <c r="AB17" s="168" t="str">
        <f t="shared" ca="1" si="2"/>
        <v/>
      </c>
      <c r="AC17" s="168" t="str">
        <f t="shared" ca="1" si="2"/>
        <v/>
      </c>
      <c r="AD17" s="168" t="str">
        <f t="shared" ca="1" si="2"/>
        <v/>
      </c>
      <c r="AE17" s="168" t="str">
        <f t="shared" ca="1" si="2"/>
        <v/>
      </c>
      <c r="AF17" s="168" t="str">
        <f t="shared" ca="1" si="2"/>
        <v/>
      </c>
      <c r="AG17" s="168" t="str">
        <f t="shared" ca="1" si="2"/>
        <v/>
      </c>
      <c r="AH17" s="168" t="str">
        <f t="shared" ca="1" si="2"/>
        <v/>
      </c>
      <c r="AI17" s="168" t="str">
        <f t="shared" ca="1" si="2"/>
        <v/>
      </c>
    </row>
    <row r="18" spans="1:35" ht="15" x14ac:dyDescent="0.3">
      <c r="A18" s="189">
        <v>14</v>
      </c>
      <c r="B18" s="189">
        <f ca="1">OFFSET('Matriz de Riesgos'!$F$14,H18,0)</f>
        <v>0</v>
      </c>
      <c r="C18" s="189">
        <f ca="1">OFFSET('Matriz de Riesgos'!$G$8,H18,0)</f>
        <v>0</v>
      </c>
      <c r="D18" s="190">
        <f ca="1">OFFSET('Matriz de Riesgos'!$V$8,H18,0)</f>
        <v>0</v>
      </c>
      <c r="E18" s="190">
        <f ca="1">OFFSET('Matriz de Riesgos'!$W$8,H18,0)</f>
        <v>0</v>
      </c>
      <c r="F18" s="191">
        <f t="shared" ca="1" si="3"/>
        <v>0</v>
      </c>
      <c r="G18" s="168" t="str">
        <f t="shared" ca="1" si="4"/>
        <v>00</v>
      </c>
      <c r="H18" s="168">
        <f t="shared" si="6"/>
        <v>143</v>
      </c>
      <c r="J18" s="201">
        <v>14</v>
      </c>
      <c r="K18" s="168" t="str">
        <f t="shared" ca="1" si="5"/>
        <v/>
      </c>
      <c r="L18" s="168" t="str">
        <f t="shared" ca="1" si="1"/>
        <v/>
      </c>
      <c r="M18" s="168" t="str">
        <f t="shared" ca="1" si="1"/>
        <v/>
      </c>
      <c r="N18" s="168" t="str">
        <f t="shared" ca="1" si="1"/>
        <v/>
      </c>
      <c r="O18" s="168" t="str">
        <f t="shared" ca="1" si="1"/>
        <v/>
      </c>
      <c r="P18" s="168" t="str">
        <f t="shared" ca="1" si="1"/>
        <v/>
      </c>
      <c r="Q18" s="168" t="str">
        <f t="shared" ca="1" si="1"/>
        <v/>
      </c>
      <c r="R18" s="168" t="str">
        <f t="shared" ca="1" si="1"/>
        <v/>
      </c>
      <c r="S18" s="168" t="str">
        <f t="shared" ca="1" si="1"/>
        <v/>
      </c>
      <c r="T18" s="168" t="str">
        <f t="shared" ca="1" si="1"/>
        <v/>
      </c>
      <c r="U18" s="168" t="str">
        <f t="shared" ca="1" si="1"/>
        <v/>
      </c>
      <c r="V18" s="168" t="str">
        <f t="shared" ca="1" si="1"/>
        <v/>
      </c>
      <c r="W18" s="168" t="str">
        <f t="shared" ca="1" si="1"/>
        <v/>
      </c>
      <c r="X18" s="168" t="str">
        <f t="shared" ca="1" si="1"/>
        <v/>
      </c>
      <c r="Y18" s="168" t="str">
        <f t="shared" ca="1" si="1"/>
        <v/>
      </c>
      <c r="Z18" s="168" t="str">
        <f t="shared" ca="1" si="1"/>
        <v/>
      </c>
      <c r="AA18" s="168" t="str">
        <f t="shared" ca="1" si="1"/>
        <v/>
      </c>
      <c r="AB18" s="168" t="str">
        <f t="shared" ca="1" si="2"/>
        <v/>
      </c>
      <c r="AC18" s="168" t="str">
        <f t="shared" ca="1" si="2"/>
        <v/>
      </c>
      <c r="AD18" s="168" t="str">
        <f t="shared" ca="1" si="2"/>
        <v/>
      </c>
      <c r="AE18" s="168" t="str">
        <f t="shared" ca="1" si="2"/>
        <v/>
      </c>
      <c r="AF18" s="168" t="str">
        <f t="shared" ca="1" si="2"/>
        <v/>
      </c>
      <c r="AG18" s="168" t="str">
        <f t="shared" ca="1" si="2"/>
        <v/>
      </c>
      <c r="AH18" s="168" t="str">
        <f t="shared" ca="1" si="2"/>
        <v/>
      </c>
      <c r="AI18" s="168" t="str">
        <f t="shared" ca="1" si="2"/>
        <v/>
      </c>
    </row>
    <row r="19" spans="1:35" ht="15" x14ac:dyDescent="0.3">
      <c r="A19" s="189">
        <v>15</v>
      </c>
      <c r="B19" s="189">
        <f ca="1">OFFSET('Matriz de Riesgos'!$F$14,H19,0)</f>
        <v>0</v>
      </c>
      <c r="C19" s="189">
        <f ca="1">OFFSET('Matriz de Riesgos'!$G$8,H19,0)</f>
        <v>0</v>
      </c>
      <c r="D19" s="190">
        <f ca="1">OFFSET('Matriz de Riesgos'!$V$8,H19,0)</f>
        <v>0</v>
      </c>
      <c r="E19" s="190">
        <f ca="1">OFFSET('Matriz de Riesgos'!$W$8,H19,0)</f>
        <v>0</v>
      </c>
      <c r="F19" s="191">
        <f t="shared" ca="1" si="3"/>
        <v>0</v>
      </c>
      <c r="G19" s="168" t="str">
        <f t="shared" ca="1" si="4"/>
        <v>00</v>
      </c>
      <c r="H19" s="168">
        <f t="shared" si="6"/>
        <v>154</v>
      </c>
      <c r="J19" s="201">
        <v>15</v>
      </c>
      <c r="K19" s="168" t="str">
        <f t="shared" ca="1" si="5"/>
        <v/>
      </c>
      <c r="L19" s="168" t="str">
        <f t="shared" ca="1" si="1"/>
        <v/>
      </c>
      <c r="M19" s="168" t="str">
        <f t="shared" ca="1" si="1"/>
        <v/>
      </c>
      <c r="N19" s="168" t="str">
        <f t="shared" ca="1" si="1"/>
        <v/>
      </c>
      <c r="O19" s="168" t="str">
        <f t="shared" ca="1" si="1"/>
        <v/>
      </c>
      <c r="P19" s="168" t="str">
        <f t="shared" ca="1" si="1"/>
        <v/>
      </c>
      <c r="Q19" s="168" t="str">
        <f t="shared" ca="1" si="1"/>
        <v/>
      </c>
      <c r="R19" s="168" t="str">
        <f t="shared" ca="1" si="1"/>
        <v/>
      </c>
      <c r="S19" s="168" t="str">
        <f t="shared" ca="1" si="1"/>
        <v/>
      </c>
      <c r="T19" s="168" t="str">
        <f t="shared" ca="1" si="1"/>
        <v/>
      </c>
      <c r="U19" s="168" t="str">
        <f t="shared" ca="1" si="1"/>
        <v/>
      </c>
      <c r="V19" s="168" t="str">
        <f t="shared" ca="1" si="1"/>
        <v/>
      </c>
      <c r="W19" s="168" t="str">
        <f t="shared" ca="1" si="1"/>
        <v/>
      </c>
      <c r="X19" s="168" t="str">
        <f t="shared" ca="1" si="1"/>
        <v/>
      </c>
      <c r="Y19" s="168" t="str">
        <f t="shared" ca="1" si="1"/>
        <v/>
      </c>
      <c r="Z19" s="168" t="str">
        <f t="shared" ca="1" si="1"/>
        <v/>
      </c>
      <c r="AA19" s="168" t="str">
        <f t="shared" ca="1" si="1"/>
        <v/>
      </c>
      <c r="AB19" s="168" t="str">
        <f t="shared" ca="1" si="2"/>
        <v/>
      </c>
      <c r="AC19" s="168" t="str">
        <f t="shared" ca="1" si="2"/>
        <v/>
      </c>
      <c r="AD19" s="168" t="str">
        <f t="shared" ca="1" si="2"/>
        <v/>
      </c>
      <c r="AE19" s="168" t="str">
        <f t="shared" ca="1" si="2"/>
        <v/>
      </c>
      <c r="AF19" s="168" t="str">
        <f t="shared" ca="1" si="2"/>
        <v/>
      </c>
      <c r="AG19" s="168" t="str">
        <f t="shared" ca="1" si="2"/>
        <v/>
      </c>
      <c r="AH19" s="168" t="str">
        <f t="shared" ca="1" si="2"/>
        <v/>
      </c>
      <c r="AI19" s="168" t="str">
        <f t="shared" ca="1" si="2"/>
        <v/>
      </c>
    </row>
    <row r="20" spans="1:35" ht="15" x14ac:dyDescent="0.3">
      <c r="A20" s="189">
        <v>16</v>
      </c>
      <c r="B20" s="189">
        <f ca="1">OFFSET('Matriz de Riesgos'!$F$14,H20,0)</f>
        <v>0</v>
      </c>
      <c r="C20" s="189">
        <f ca="1">OFFSET('Matriz de Riesgos'!$G$8,H20,0)</f>
        <v>0</v>
      </c>
      <c r="D20" s="190">
        <f ca="1">OFFSET('Matriz de Riesgos'!$V$8,H20,0)</f>
        <v>0</v>
      </c>
      <c r="E20" s="190">
        <f ca="1">OFFSET('Matriz de Riesgos'!$W$8,H20,0)</f>
        <v>0</v>
      </c>
      <c r="F20" s="191">
        <f t="shared" ca="1" si="3"/>
        <v>0</v>
      </c>
      <c r="G20" s="168" t="str">
        <f t="shared" ca="1" si="4"/>
        <v>00</v>
      </c>
      <c r="H20" s="168">
        <f t="shared" si="6"/>
        <v>165</v>
      </c>
      <c r="J20" s="201">
        <v>16</v>
      </c>
      <c r="K20" s="168" t="str">
        <f t="shared" ca="1" si="5"/>
        <v/>
      </c>
      <c r="L20" s="168" t="str">
        <f t="shared" ca="1" si="1"/>
        <v/>
      </c>
      <c r="M20" s="168" t="str">
        <f t="shared" ca="1" si="1"/>
        <v/>
      </c>
      <c r="N20" s="168" t="str">
        <f t="shared" ca="1" si="1"/>
        <v/>
      </c>
      <c r="O20" s="168" t="str">
        <f t="shared" ca="1" si="1"/>
        <v/>
      </c>
      <c r="P20" s="168" t="str">
        <f t="shared" ca="1" si="1"/>
        <v/>
      </c>
      <c r="Q20" s="168" t="str">
        <f t="shared" ca="1" si="1"/>
        <v/>
      </c>
      <c r="R20" s="168" t="str">
        <f t="shared" ca="1" si="1"/>
        <v/>
      </c>
      <c r="S20" s="168" t="str">
        <f t="shared" ca="1" si="1"/>
        <v/>
      </c>
      <c r="T20" s="168" t="str">
        <f t="shared" ca="1" si="1"/>
        <v/>
      </c>
      <c r="U20" s="168" t="str">
        <f t="shared" ca="1" si="1"/>
        <v/>
      </c>
      <c r="V20" s="168" t="str">
        <f t="shared" ca="1" si="1"/>
        <v/>
      </c>
      <c r="W20" s="168" t="str">
        <f t="shared" ca="1" si="1"/>
        <v/>
      </c>
      <c r="X20" s="168" t="str">
        <f t="shared" ca="1" si="1"/>
        <v/>
      </c>
      <c r="Y20" s="168" t="str">
        <f t="shared" ca="1" si="1"/>
        <v/>
      </c>
      <c r="Z20" s="168" t="str">
        <f t="shared" ca="1" si="1"/>
        <v/>
      </c>
      <c r="AA20" s="168" t="str">
        <f t="shared" ref="AA20:AI35" ca="1" si="7">IF($G20=AA$4,$B20&amp;";","")</f>
        <v/>
      </c>
      <c r="AB20" s="168" t="str">
        <f t="shared" ca="1" si="7"/>
        <v/>
      </c>
      <c r="AC20" s="168" t="str">
        <f t="shared" ca="1" si="7"/>
        <v/>
      </c>
      <c r="AD20" s="168" t="str">
        <f t="shared" ca="1" si="7"/>
        <v/>
      </c>
      <c r="AE20" s="168" t="str">
        <f t="shared" ca="1" si="7"/>
        <v/>
      </c>
      <c r="AF20" s="168" t="str">
        <f t="shared" ca="1" si="7"/>
        <v/>
      </c>
      <c r="AG20" s="168" t="str">
        <f t="shared" ca="1" si="7"/>
        <v/>
      </c>
      <c r="AH20" s="168" t="str">
        <f t="shared" ca="1" si="7"/>
        <v/>
      </c>
      <c r="AI20" s="168" t="str">
        <f t="shared" ca="1" si="7"/>
        <v/>
      </c>
    </row>
    <row r="21" spans="1:35" ht="15" x14ac:dyDescent="0.3">
      <c r="A21" s="189">
        <v>17</v>
      </c>
      <c r="B21" s="189">
        <f ca="1">OFFSET('Matriz de Riesgos'!$F$14,H21,0)</f>
        <v>0</v>
      </c>
      <c r="C21" s="189">
        <f ca="1">OFFSET('Matriz de Riesgos'!$G$8,H21,0)</f>
        <v>0</v>
      </c>
      <c r="D21" s="190">
        <f ca="1">OFFSET('Matriz de Riesgos'!$V$8,H21,0)</f>
        <v>0</v>
      </c>
      <c r="E21" s="190">
        <f ca="1">OFFSET('Matriz de Riesgos'!$W$8,H21,0)</f>
        <v>0</v>
      </c>
      <c r="F21" s="191">
        <f t="shared" ca="1" si="3"/>
        <v>0</v>
      </c>
      <c r="G21" s="168" t="str">
        <f t="shared" ca="1" si="4"/>
        <v>00</v>
      </c>
      <c r="H21" s="168">
        <f t="shared" si="6"/>
        <v>176</v>
      </c>
      <c r="J21" s="201">
        <v>17</v>
      </c>
      <c r="K21" s="168" t="str">
        <f t="shared" ca="1" si="5"/>
        <v/>
      </c>
      <c r="L21" s="168" t="str">
        <f t="shared" ca="1" si="5"/>
        <v/>
      </c>
      <c r="M21" s="168" t="str">
        <f t="shared" ca="1" si="5"/>
        <v/>
      </c>
      <c r="N21" s="168" t="str">
        <f t="shared" ca="1" si="5"/>
        <v/>
      </c>
      <c r="O21" s="168" t="str">
        <f t="shared" ca="1" si="5"/>
        <v/>
      </c>
      <c r="P21" s="168" t="str">
        <f t="shared" ca="1" si="5"/>
        <v/>
      </c>
      <c r="Q21" s="168" t="str">
        <f t="shared" ca="1" si="5"/>
        <v/>
      </c>
      <c r="R21" s="168" t="str">
        <f t="shared" ca="1" si="5"/>
        <v/>
      </c>
      <c r="S21" s="168" t="str">
        <f t="shared" ca="1" si="5"/>
        <v/>
      </c>
      <c r="T21" s="168" t="str">
        <f t="shared" ca="1" si="5"/>
        <v/>
      </c>
      <c r="U21" s="168" t="str">
        <f t="shared" ca="1" si="5"/>
        <v/>
      </c>
      <c r="V21" s="168" t="str">
        <f t="shared" ca="1" si="5"/>
        <v/>
      </c>
      <c r="W21" s="168" t="str">
        <f t="shared" ca="1" si="5"/>
        <v/>
      </c>
      <c r="X21" s="168" t="str">
        <f t="shared" ca="1" si="5"/>
        <v/>
      </c>
      <c r="Y21" s="168" t="str">
        <f t="shared" ca="1" si="5"/>
        <v/>
      </c>
      <c r="Z21" s="168" t="str">
        <f t="shared" ca="1" si="5"/>
        <v/>
      </c>
      <c r="AA21" s="168" t="str">
        <f t="shared" ca="1" si="7"/>
        <v/>
      </c>
      <c r="AB21" s="168" t="str">
        <f t="shared" ca="1" si="7"/>
        <v/>
      </c>
      <c r="AC21" s="168" t="str">
        <f t="shared" ca="1" si="7"/>
        <v/>
      </c>
      <c r="AD21" s="168" t="str">
        <f t="shared" ca="1" si="7"/>
        <v/>
      </c>
      <c r="AE21" s="168" t="str">
        <f t="shared" ca="1" si="7"/>
        <v/>
      </c>
      <c r="AF21" s="168" t="str">
        <f t="shared" ca="1" si="7"/>
        <v/>
      </c>
      <c r="AG21" s="168" t="str">
        <f t="shared" ca="1" si="7"/>
        <v/>
      </c>
      <c r="AH21" s="168" t="str">
        <f t="shared" ca="1" si="7"/>
        <v/>
      </c>
      <c r="AI21" s="168" t="str">
        <f t="shared" ca="1" si="7"/>
        <v/>
      </c>
    </row>
    <row r="22" spans="1:35" ht="15" x14ac:dyDescent="0.3">
      <c r="A22" s="189">
        <v>18</v>
      </c>
      <c r="B22" s="189">
        <f ca="1">OFFSET('Matriz de Riesgos'!$F$14,H22,0)</f>
        <v>0</v>
      </c>
      <c r="C22" s="189">
        <f ca="1">OFFSET('Matriz de Riesgos'!$G$8,H22,0)</f>
        <v>0</v>
      </c>
      <c r="D22" s="190">
        <f ca="1">OFFSET('Matriz de Riesgos'!$V$8,H22,0)</f>
        <v>0</v>
      </c>
      <c r="E22" s="190">
        <f ca="1">OFFSET('Matriz de Riesgos'!$W$8,H22,0)</f>
        <v>0</v>
      </c>
      <c r="F22" s="191">
        <f t="shared" ca="1" si="3"/>
        <v>0</v>
      </c>
      <c r="G22" s="168" t="str">
        <f t="shared" ca="1" si="4"/>
        <v>00</v>
      </c>
      <c r="H22" s="168">
        <f t="shared" si="6"/>
        <v>187</v>
      </c>
      <c r="J22" s="201">
        <v>18</v>
      </c>
      <c r="K22" s="168" t="str">
        <f t="shared" ref="K22:Z37" ca="1" si="8">IF($G22=K$4,$B22&amp;";","")</f>
        <v/>
      </c>
      <c r="L22" s="168" t="str">
        <f t="shared" ca="1" si="8"/>
        <v/>
      </c>
      <c r="M22" s="168" t="str">
        <f t="shared" ca="1" si="8"/>
        <v/>
      </c>
      <c r="N22" s="168" t="str">
        <f t="shared" ca="1" si="8"/>
        <v/>
      </c>
      <c r="O22" s="168" t="str">
        <f t="shared" ca="1" si="8"/>
        <v/>
      </c>
      <c r="P22" s="168" t="str">
        <f t="shared" ca="1" si="8"/>
        <v/>
      </c>
      <c r="Q22" s="168" t="str">
        <f t="shared" ca="1" si="8"/>
        <v/>
      </c>
      <c r="R22" s="168" t="str">
        <f t="shared" ca="1" si="8"/>
        <v/>
      </c>
      <c r="S22" s="168" t="str">
        <f t="shared" ca="1" si="8"/>
        <v/>
      </c>
      <c r="T22" s="168" t="str">
        <f t="shared" ca="1" si="8"/>
        <v/>
      </c>
      <c r="U22" s="168" t="str">
        <f t="shared" ca="1" si="8"/>
        <v/>
      </c>
      <c r="V22" s="168" t="str">
        <f t="shared" ca="1" si="8"/>
        <v/>
      </c>
      <c r="W22" s="168" t="str">
        <f t="shared" ca="1" si="8"/>
        <v/>
      </c>
      <c r="X22" s="168" t="str">
        <f t="shared" ca="1" si="8"/>
        <v/>
      </c>
      <c r="Y22" s="168" t="str">
        <f t="shared" ca="1" si="8"/>
        <v/>
      </c>
      <c r="Z22" s="168" t="str">
        <f t="shared" ca="1" si="8"/>
        <v/>
      </c>
      <c r="AA22" s="168" t="str">
        <f t="shared" ca="1" si="7"/>
        <v/>
      </c>
      <c r="AB22" s="168" t="str">
        <f t="shared" ca="1" si="7"/>
        <v/>
      </c>
      <c r="AC22" s="168" t="str">
        <f t="shared" ca="1" si="7"/>
        <v/>
      </c>
      <c r="AD22" s="168" t="str">
        <f t="shared" ca="1" si="7"/>
        <v/>
      </c>
      <c r="AE22" s="168" t="str">
        <f t="shared" ca="1" si="7"/>
        <v/>
      </c>
      <c r="AF22" s="168" t="str">
        <f t="shared" ca="1" si="7"/>
        <v/>
      </c>
      <c r="AG22" s="168" t="str">
        <f t="shared" ca="1" si="7"/>
        <v/>
      </c>
      <c r="AH22" s="168" t="str">
        <f t="shared" ca="1" si="7"/>
        <v/>
      </c>
      <c r="AI22" s="168" t="str">
        <f t="shared" ca="1" si="7"/>
        <v/>
      </c>
    </row>
    <row r="23" spans="1:35" ht="15" x14ac:dyDescent="0.3">
      <c r="A23" s="189">
        <v>19</v>
      </c>
      <c r="B23" s="189">
        <f ca="1">OFFSET('Matriz de Riesgos'!$F$14,H23,0)</f>
        <v>0</v>
      </c>
      <c r="C23" s="189">
        <f ca="1">OFFSET('Matriz de Riesgos'!$G$8,H23,0)</f>
        <v>0</v>
      </c>
      <c r="D23" s="190">
        <f ca="1">OFFSET('Matriz de Riesgos'!$V$8,H23,0)</f>
        <v>0</v>
      </c>
      <c r="E23" s="190">
        <f ca="1">OFFSET('Matriz de Riesgos'!$W$8,H23,0)</f>
        <v>0</v>
      </c>
      <c r="F23" s="191">
        <f t="shared" ca="1" si="3"/>
        <v>0</v>
      </c>
      <c r="G23" s="168" t="str">
        <f t="shared" ca="1" si="4"/>
        <v>00</v>
      </c>
      <c r="H23" s="168">
        <f t="shared" si="6"/>
        <v>198</v>
      </c>
      <c r="J23" s="201">
        <v>19</v>
      </c>
      <c r="K23" s="168" t="str">
        <f t="shared" ca="1" si="8"/>
        <v/>
      </c>
      <c r="L23" s="168" t="str">
        <f t="shared" ca="1" si="8"/>
        <v/>
      </c>
      <c r="M23" s="168" t="str">
        <f t="shared" ca="1" si="8"/>
        <v/>
      </c>
      <c r="N23" s="168" t="str">
        <f t="shared" ca="1" si="8"/>
        <v/>
      </c>
      <c r="O23" s="168" t="str">
        <f t="shared" ca="1" si="8"/>
        <v/>
      </c>
      <c r="P23" s="168" t="str">
        <f t="shared" ca="1" si="8"/>
        <v/>
      </c>
      <c r="Q23" s="168" t="str">
        <f t="shared" ca="1" si="8"/>
        <v/>
      </c>
      <c r="R23" s="168" t="str">
        <f t="shared" ca="1" si="8"/>
        <v/>
      </c>
      <c r="S23" s="168" t="str">
        <f t="shared" ca="1" si="8"/>
        <v/>
      </c>
      <c r="T23" s="168" t="str">
        <f t="shared" ca="1" si="8"/>
        <v/>
      </c>
      <c r="U23" s="168" t="str">
        <f t="shared" ca="1" si="8"/>
        <v/>
      </c>
      <c r="V23" s="168" t="str">
        <f t="shared" ca="1" si="8"/>
        <v/>
      </c>
      <c r="W23" s="168" t="str">
        <f t="shared" ca="1" si="8"/>
        <v/>
      </c>
      <c r="X23" s="168" t="str">
        <f t="shared" ca="1" si="8"/>
        <v/>
      </c>
      <c r="Y23" s="168" t="str">
        <f t="shared" ca="1" si="8"/>
        <v/>
      </c>
      <c r="Z23" s="168" t="str">
        <f t="shared" ca="1" si="8"/>
        <v/>
      </c>
      <c r="AA23" s="168" t="str">
        <f t="shared" ca="1" si="7"/>
        <v/>
      </c>
      <c r="AB23" s="168" t="str">
        <f t="shared" ca="1" si="7"/>
        <v/>
      </c>
      <c r="AC23" s="168" t="str">
        <f t="shared" ca="1" si="7"/>
        <v/>
      </c>
      <c r="AD23" s="168" t="str">
        <f t="shared" ca="1" si="7"/>
        <v/>
      </c>
      <c r="AE23" s="168" t="str">
        <f t="shared" ca="1" si="7"/>
        <v/>
      </c>
      <c r="AF23" s="168" t="str">
        <f t="shared" ca="1" si="7"/>
        <v/>
      </c>
      <c r="AG23" s="168" t="str">
        <f t="shared" ca="1" si="7"/>
        <v/>
      </c>
      <c r="AH23" s="168" t="str">
        <f t="shared" ca="1" si="7"/>
        <v/>
      </c>
      <c r="AI23" s="168" t="str">
        <f t="shared" ca="1" si="7"/>
        <v/>
      </c>
    </row>
    <row r="24" spans="1:35" ht="15" x14ac:dyDescent="0.3">
      <c r="A24" s="189">
        <v>20</v>
      </c>
      <c r="B24" s="189">
        <f ca="1">OFFSET('Matriz de Riesgos'!$F$14,H24,0)</f>
        <v>0</v>
      </c>
      <c r="C24" s="189">
        <f ca="1">OFFSET('Matriz de Riesgos'!$G$8,H24,0)</f>
        <v>0</v>
      </c>
      <c r="D24" s="190">
        <f ca="1">OFFSET('Matriz de Riesgos'!$V$8,H24,0)</f>
        <v>0</v>
      </c>
      <c r="E24" s="190">
        <f ca="1">OFFSET('Matriz de Riesgos'!$W$8,H24,0)</f>
        <v>0</v>
      </c>
      <c r="F24" s="191">
        <f t="shared" ca="1" si="3"/>
        <v>0</v>
      </c>
      <c r="G24" s="168" t="str">
        <f t="shared" ca="1" si="4"/>
        <v>00</v>
      </c>
      <c r="H24" s="168">
        <f t="shared" si="6"/>
        <v>209</v>
      </c>
      <c r="J24" s="201">
        <v>20</v>
      </c>
      <c r="K24" s="168" t="str">
        <f t="shared" ca="1" si="8"/>
        <v/>
      </c>
      <c r="L24" s="168" t="str">
        <f t="shared" ca="1" si="8"/>
        <v/>
      </c>
      <c r="M24" s="168" t="str">
        <f t="shared" ca="1" si="8"/>
        <v/>
      </c>
      <c r="N24" s="168" t="str">
        <f t="shared" ca="1" si="8"/>
        <v/>
      </c>
      <c r="O24" s="168" t="str">
        <f t="shared" ca="1" si="8"/>
        <v/>
      </c>
      <c r="P24" s="168" t="str">
        <f t="shared" ca="1" si="8"/>
        <v/>
      </c>
      <c r="Q24" s="168" t="str">
        <f t="shared" ca="1" si="8"/>
        <v/>
      </c>
      <c r="R24" s="168" t="str">
        <f t="shared" ca="1" si="8"/>
        <v/>
      </c>
      <c r="S24" s="168" t="str">
        <f t="shared" ca="1" si="8"/>
        <v/>
      </c>
      <c r="T24" s="168" t="str">
        <f t="shared" ca="1" si="8"/>
        <v/>
      </c>
      <c r="U24" s="168" t="str">
        <f t="shared" ca="1" si="8"/>
        <v/>
      </c>
      <c r="V24" s="168" t="str">
        <f t="shared" ca="1" si="8"/>
        <v/>
      </c>
      <c r="W24" s="168" t="str">
        <f t="shared" ca="1" si="8"/>
        <v/>
      </c>
      <c r="X24" s="168" t="str">
        <f t="shared" ca="1" si="8"/>
        <v/>
      </c>
      <c r="Y24" s="168" t="str">
        <f t="shared" ca="1" si="8"/>
        <v/>
      </c>
      <c r="Z24" s="168" t="str">
        <f t="shared" ca="1" si="8"/>
        <v/>
      </c>
      <c r="AA24" s="168" t="str">
        <f t="shared" ca="1" si="7"/>
        <v/>
      </c>
      <c r="AB24" s="168" t="str">
        <f t="shared" ca="1" si="7"/>
        <v/>
      </c>
      <c r="AC24" s="168" t="str">
        <f t="shared" ca="1" si="7"/>
        <v/>
      </c>
      <c r="AD24" s="168" t="str">
        <f t="shared" ca="1" si="7"/>
        <v/>
      </c>
      <c r="AE24" s="168" t="str">
        <f t="shared" ca="1" si="7"/>
        <v/>
      </c>
      <c r="AF24" s="168" t="str">
        <f t="shared" ca="1" si="7"/>
        <v/>
      </c>
      <c r="AG24" s="168" t="str">
        <f t="shared" ca="1" si="7"/>
        <v/>
      </c>
      <c r="AH24" s="168" t="str">
        <f t="shared" ca="1" si="7"/>
        <v/>
      </c>
      <c r="AI24" s="168" t="str">
        <f t="shared" ca="1" si="7"/>
        <v/>
      </c>
    </row>
    <row r="25" spans="1:35" ht="15" x14ac:dyDescent="0.3">
      <c r="A25" s="189">
        <v>21</v>
      </c>
      <c r="B25" s="189">
        <f ca="1">OFFSET('Matriz de Riesgos'!$F$14,H25,0)</f>
        <v>0</v>
      </c>
      <c r="C25" s="189">
        <f ca="1">OFFSET('Matriz de Riesgos'!$G$8,H25,0)</f>
        <v>0</v>
      </c>
      <c r="D25" s="190">
        <f ca="1">OFFSET('Matriz de Riesgos'!$V$8,H25,0)</f>
        <v>0</v>
      </c>
      <c r="E25" s="190">
        <f ca="1">OFFSET('Matriz de Riesgos'!$W$8,H25,0)</f>
        <v>0</v>
      </c>
      <c r="F25" s="191">
        <f t="shared" ca="1" si="3"/>
        <v>0</v>
      </c>
      <c r="G25" s="168" t="str">
        <f t="shared" ca="1" si="4"/>
        <v>00</v>
      </c>
      <c r="H25" s="168">
        <f t="shared" si="6"/>
        <v>220</v>
      </c>
      <c r="J25" s="201">
        <v>21</v>
      </c>
      <c r="K25" s="168" t="str">
        <f t="shared" ca="1" si="8"/>
        <v/>
      </c>
      <c r="L25" s="168" t="str">
        <f t="shared" ca="1" si="8"/>
        <v/>
      </c>
      <c r="M25" s="168" t="str">
        <f t="shared" ca="1" si="8"/>
        <v/>
      </c>
      <c r="N25" s="168" t="str">
        <f t="shared" ca="1" si="8"/>
        <v/>
      </c>
      <c r="O25" s="168" t="str">
        <f t="shared" ca="1" si="8"/>
        <v/>
      </c>
      <c r="P25" s="168" t="str">
        <f t="shared" ca="1" si="8"/>
        <v/>
      </c>
      <c r="Q25" s="168" t="str">
        <f t="shared" ca="1" si="8"/>
        <v/>
      </c>
      <c r="R25" s="168" t="str">
        <f t="shared" ca="1" si="8"/>
        <v/>
      </c>
      <c r="S25" s="168" t="str">
        <f t="shared" ca="1" si="8"/>
        <v/>
      </c>
      <c r="T25" s="168" t="str">
        <f t="shared" ca="1" si="8"/>
        <v/>
      </c>
      <c r="U25" s="168" t="str">
        <f t="shared" ca="1" si="8"/>
        <v/>
      </c>
      <c r="V25" s="168" t="str">
        <f t="shared" ca="1" si="8"/>
        <v/>
      </c>
      <c r="W25" s="168" t="str">
        <f t="shared" ca="1" si="8"/>
        <v/>
      </c>
      <c r="X25" s="168" t="str">
        <f t="shared" ca="1" si="8"/>
        <v/>
      </c>
      <c r="Y25" s="168" t="str">
        <f t="shared" ca="1" si="8"/>
        <v/>
      </c>
      <c r="Z25" s="168" t="str">
        <f t="shared" ca="1" si="8"/>
        <v/>
      </c>
      <c r="AA25" s="168" t="str">
        <f t="shared" ca="1" si="7"/>
        <v/>
      </c>
      <c r="AB25" s="168" t="str">
        <f t="shared" ca="1" si="7"/>
        <v/>
      </c>
      <c r="AC25" s="168" t="str">
        <f t="shared" ca="1" si="7"/>
        <v/>
      </c>
      <c r="AD25" s="168" t="str">
        <f t="shared" ca="1" si="7"/>
        <v/>
      </c>
      <c r="AE25" s="168" t="str">
        <f t="shared" ca="1" si="7"/>
        <v/>
      </c>
      <c r="AF25" s="168" t="str">
        <f t="shared" ca="1" si="7"/>
        <v/>
      </c>
      <c r="AG25" s="168" t="str">
        <f t="shared" ca="1" si="7"/>
        <v/>
      </c>
      <c r="AH25" s="168" t="str">
        <f t="shared" ca="1" si="7"/>
        <v/>
      </c>
      <c r="AI25" s="168" t="str">
        <f t="shared" ca="1" si="7"/>
        <v/>
      </c>
    </row>
    <row r="26" spans="1:35" ht="15" x14ac:dyDescent="0.3">
      <c r="A26" s="189">
        <v>22</v>
      </c>
      <c r="B26" s="189">
        <f ca="1">OFFSET('Matriz de Riesgos'!$F$14,H26,0)</f>
        <v>0</v>
      </c>
      <c r="C26" s="189">
        <f ca="1">OFFSET('Matriz de Riesgos'!$G$8,H26,0)</f>
        <v>0</v>
      </c>
      <c r="D26" s="190">
        <f ca="1">OFFSET('Matriz de Riesgos'!$V$8,H26,0)</f>
        <v>0</v>
      </c>
      <c r="E26" s="190">
        <f ca="1">OFFSET('Matriz de Riesgos'!$W$8,H26,0)</f>
        <v>0</v>
      </c>
      <c r="F26" s="191">
        <f t="shared" ca="1" si="3"/>
        <v>0</v>
      </c>
      <c r="G26" s="168" t="str">
        <f t="shared" ca="1" si="4"/>
        <v>00</v>
      </c>
      <c r="H26" s="168">
        <f t="shared" si="6"/>
        <v>231</v>
      </c>
      <c r="J26" s="201">
        <v>22</v>
      </c>
      <c r="K26" s="168" t="str">
        <f t="shared" ca="1" si="8"/>
        <v/>
      </c>
      <c r="L26" s="168" t="str">
        <f t="shared" ca="1" si="8"/>
        <v/>
      </c>
      <c r="M26" s="168" t="str">
        <f t="shared" ca="1" si="8"/>
        <v/>
      </c>
      <c r="N26" s="168" t="str">
        <f t="shared" ca="1" si="8"/>
        <v/>
      </c>
      <c r="O26" s="168" t="str">
        <f t="shared" ca="1" si="8"/>
        <v/>
      </c>
      <c r="P26" s="168" t="str">
        <f t="shared" ca="1" si="8"/>
        <v/>
      </c>
      <c r="Q26" s="168" t="str">
        <f t="shared" ca="1" si="8"/>
        <v/>
      </c>
      <c r="R26" s="168" t="str">
        <f t="shared" ca="1" si="8"/>
        <v/>
      </c>
      <c r="S26" s="168" t="str">
        <f t="shared" ca="1" si="8"/>
        <v/>
      </c>
      <c r="T26" s="168" t="str">
        <f t="shared" ca="1" si="8"/>
        <v/>
      </c>
      <c r="U26" s="168" t="str">
        <f t="shared" ca="1" si="8"/>
        <v/>
      </c>
      <c r="V26" s="168" t="str">
        <f t="shared" ca="1" si="8"/>
        <v/>
      </c>
      <c r="W26" s="168" t="str">
        <f t="shared" ca="1" si="8"/>
        <v/>
      </c>
      <c r="X26" s="168" t="str">
        <f t="shared" ca="1" si="8"/>
        <v/>
      </c>
      <c r="Y26" s="168" t="str">
        <f t="shared" ca="1" si="8"/>
        <v/>
      </c>
      <c r="Z26" s="168" t="str">
        <f t="shared" ca="1" si="8"/>
        <v/>
      </c>
      <c r="AA26" s="168" t="str">
        <f t="shared" ca="1" si="7"/>
        <v/>
      </c>
      <c r="AB26" s="168" t="str">
        <f t="shared" ca="1" si="7"/>
        <v/>
      </c>
      <c r="AC26" s="168" t="str">
        <f t="shared" ca="1" si="7"/>
        <v/>
      </c>
      <c r="AD26" s="168" t="str">
        <f t="shared" ca="1" si="7"/>
        <v/>
      </c>
      <c r="AE26" s="168" t="str">
        <f t="shared" ca="1" si="7"/>
        <v/>
      </c>
      <c r="AF26" s="168" t="str">
        <f t="shared" ca="1" si="7"/>
        <v/>
      </c>
      <c r="AG26" s="168" t="str">
        <f t="shared" ca="1" si="7"/>
        <v/>
      </c>
      <c r="AH26" s="168" t="str">
        <f t="shared" ca="1" si="7"/>
        <v/>
      </c>
      <c r="AI26" s="168" t="str">
        <f t="shared" ca="1" si="7"/>
        <v/>
      </c>
    </row>
    <row r="27" spans="1:35" ht="15" x14ac:dyDescent="0.3">
      <c r="A27" s="189">
        <v>23</v>
      </c>
      <c r="B27" s="189">
        <f ca="1">OFFSET('Matriz de Riesgos'!$F$14,H27,0)</f>
        <v>0</v>
      </c>
      <c r="C27" s="189">
        <f ca="1">OFFSET('Matriz de Riesgos'!$G$8,H27,0)</f>
        <v>0</v>
      </c>
      <c r="D27" s="190">
        <f ca="1">OFFSET('Matriz de Riesgos'!$V$8,H27,0)</f>
        <v>0</v>
      </c>
      <c r="E27" s="190">
        <f ca="1">OFFSET('Matriz de Riesgos'!$W$8,H27,0)</f>
        <v>0</v>
      </c>
      <c r="F27" s="191">
        <f t="shared" ca="1" si="3"/>
        <v>0</v>
      </c>
      <c r="G27" s="168" t="str">
        <f t="shared" ca="1" si="4"/>
        <v>00</v>
      </c>
      <c r="H27" s="168">
        <f t="shared" si="6"/>
        <v>242</v>
      </c>
      <c r="J27" s="201">
        <v>23</v>
      </c>
      <c r="K27" s="168" t="str">
        <f t="shared" ca="1" si="8"/>
        <v/>
      </c>
      <c r="L27" s="168" t="str">
        <f t="shared" ca="1" si="8"/>
        <v/>
      </c>
      <c r="M27" s="168" t="str">
        <f t="shared" ca="1" si="8"/>
        <v/>
      </c>
      <c r="N27" s="168" t="str">
        <f t="shared" ca="1" si="8"/>
        <v/>
      </c>
      <c r="O27" s="168" t="str">
        <f t="shared" ca="1" si="8"/>
        <v/>
      </c>
      <c r="P27" s="168" t="str">
        <f t="shared" ca="1" si="8"/>
        <v/>
      </c>
      <c r="Q27" s="168" t="str">
        <f t="shared" ca="1" si="8"/>
        <v/>
      </c>
      <c r="R27" s="168" t="str">
        <f t="shared" ca="1" si="8"/>
        <v/>
      </c>
      <c r="S27" s="168" t="str">
        <f t="shared" ca="1" si="8"/>
        <v/>
      </c>
      <c r="T27" s="168" t="str">
        <f t="shared" ca="1" si="8"/>
        <v/>
      </c>
      <c r="U27" s="168" t="str">
        <f t="shared" ca="1" si="8"/>
        <v/>
      </c>
      <c r="V27" s="168" t="str">
        <f t="shared" ca="1" si="8"/>
        <v/>
      </c>
      <c r="W27" s="168" t="str">
        <f t="shared" ca="1" si="8"/>
        <v/>
      </c>
      <c r="X27" s="168" t="str">
        <f t="shared" ca="1" si="8"/>
        <v/>
      </c>
      <c r="Y27" s="168" t="str">
        <f t="shared" ca="1" si="8"/>
        <v/>
      </c>
      <c r="Z27" s="168" t="str">
        <f t="shared" ca="1" si="8"/>
        <v/>
      </c>
      <c r="AA27" s="168" t="str">
        <f t="shared" ca="1" si="7"/>
        <v/>
      </c>
      <c r="AB27" s="168" t="str">
        <f t="shared" ca="1" si="7"/>
        <v/>
      </c>
      <c r="AC27" s="168" t="str">
        <f t="shared" ca="1" si="7"/>
        <v/>
      </c>
      <c r="AD27" s="168" t="str">
        <f t="shared" ca="1" si="7"/>
        <v/>
      </c>
      <c r="AE27" s="168" t="str">
        <f t="shared" ca="1" si="7"/>
        <v/>
      </c>
      <c r="AF27" s="168" t="str">
        <f t="shared" ca="1" si="7"/>
        <v/>
      </c>
      <c r="AG27" s="168" t="str">
        <f t="shared" ca="1" si="7"/>
        <v/>
      </c>
      <c r="AH27" s="168" t="str">
        <f t="shared" ca="1" si="7"/>
        <v/>
      </c>
      <c r="AI27" s="168" t="str">
        <f t="shared" ca="1" si="7"/>
        <v/>
      </c>
    </row>
    <row r="28" spans="1:35" ht="15" x14ac:dyDescent="0.3">
      <c r="A28" s="189">
        <v>24</v>
      </c>
      <c r="B28" s="189">
        <f ca="1">OFFSET('Matriz de Riesgos'!$F$14,H28,0)</f>
        <v>0</v>
      </c>
      <c r="C28" s="189">
        <f ca="1">OFFSET('Matriz de Riesgos'!$G$8,H28,0)</f>
        <v>0</v>
      </c>
      <c r="D28" s="190">
        <f ca="1">OFFSET('Matriz de Riesgos'!$V$8,H28,0)</f>
        <v>0</v>
      </c>
      <c r="E28" s="190">
        <f ca="1">OFFSET('Matriz de Riesgos'!$W$8,H28,0)</f>
        <v>0</v>
      </c>
      <c r="F28" s="191">
        <f t="shared" ca="1" si="3"/>
        <v>0</v>
      </c>
      <c r="G28" s="168" t="str">
        <f t="shared" ca="1" si="4"/>
        <v>00</v>
      </c>
      <c r="H28" s="168">
        <f t="shared" si="6"/>
        <v>253</v>
      </c>
      <c r="J28" s="201">
        <v>24</v>
      </c>
      <c r="K28" s="168" t="str">
        <f t="shared" ca="1" si="8"/>
        <v/>
      </c>
      <c r="L28" s="168" t="str">
        <f t="shared" ca="1" si="8"/>
        <v/>
      </c>
      <c r="M28" s="168" t="str">
        <f t="shared" ca="1" si="8"/>
        <v/>
      </c>
      <c r="N28" s="168" t="str">
        <f t="shared" ca="1" si="8"/>
        <v/>
      </c>
      <c r="O28" s="168" t="str">
        <f t="shared" ca="1" si="8"/>
        <v/>
      </c>
      <c r="P28" s="168" t="str">
        <f t="shared" ca="1" si="8"/>
        <v/>
      </c>
      <c r="Q28" s="168" t="str">
        <f t="shared" ca="1" si="8"/>
        <v/>
      </c>
      <c r="R28" s="168" t="str">
        <f t="shared" ca="1" si="8"/>
        <v/>
      </c>
      <c r="S28" s="168" t="str">
        <f t="shared" ca="1" si="8"/>
        <v/>
      </c>
      <c r="T28" s="168" t="str">
        <f t="shared" ca="1" si="8"/>
        <v/>
      </c>
      <c r="U28" s="168" t="str">
        <f t="shared" ca="1" si="8"/>
        <v/>
      </c>
      <c r="V28" s="168" t="str">
        <f t="shared" ca="1" si="8"/>
        <v/>
      </c>
      <c r="W28" s="168" t="str">
        <f t="shared" ca="1" si="8"/>
        <v/>
      </c>
      <c r="X28" s="168" t="str">
        <f t="shared" ca="1" si="8"/>
        <v/>
      </c>
      <c r="Y28" s="168" t="str">
        <f t="shared" ca="1" si="8"/>
        <v/>
      </c>
      <c r="Z28" s="168" t="str">
        <f t="shared" ca="1" si="8"/>
        <v/>
      </c>
      <c r="AA28" s="168" t="str">
        <f t="shared" ca="1" si="7"/>
        <v/>
      </c>
      <c r="AB28" s="168" t="str">
        <f t="shared" ca="1" si="7"/>
        <v/>
      </c>
      <c r="AC28" s="168" t="str">
        <f t="shared" ca="1" si="7"/>
        <v/>
      </c>
      <c r="AD28" s="168" t="str">
        <f t="shared" ca="1" si="7"/>
        <v/>
      </c>
      <c r="AE28" s="168" t="str">
        <f t="shared" ca="1" si="7"/>
        <v/>
      </c>
      <c r="AF28" s="168" t="str">
        <f t="shared" ca="1" si="7"/>
        <v/>
      </c>
      <c r="AG28" s="168" t="str">
        <f t="shared" ca="1" si="7"/>
        <v/>
      </c>
      <c r="AH28" s="168" t="str">
        <f t="shared" ca="1" si="7"/>
        <v/>
      </c>
      <c r="AI28" s="168" t="str">
        <f t="shared" ca="1" si="7"/>
        <v/>
      </c>
    </row>
    <row r="29" spans="1:35" ht="15" x14ac:dyDescent="0.3">
      <c r="A29" s="189">
        <v>25</v>
      </c>
      <c r="B29" s="189">
        <f ca="1">OFFSET('Matriz de Riesgos'!$F$14,H29,0)</f>
        <v>0</v>
      </c>
      <c r="C29" s="189">
        <f ca="1">OFFSET('Matriz de Riesgos'!$G$8,H29,0)</f>
        <v>0</v>
      </c>
      <c r="D29" s="190">
        <f ca="1">OFFSET('Matriz de Riesgos'!$V$8,H29,0)</f>
        <v>0</v>
      </c>
      <c r="E29" s="190">
        <f ca="1">OFFSET('Matriz de Riesgos'!$W$8,H29,0)</f>
        <v>0</v>
      </c>
      <c r="F29" s="191">
        <f t="shared" ca="1" si="3"/>
        <v>0</v>
      </c>
      <c r="G29" s="168" t="str">
        <f t="shared" ca="1" si="4"/>
        <v>00</v>
      </c>
      <c r="H29" s="168">
        <f t="shared" si="6"/>
        <v>264</v>
      </c>
      <c r="J29" s="201">
        <v>25</v>
      </c>
      <c r="K29" s="168" t="str">
        <f t="shared" ca="1" si="8"/>
        <v/>
      </c>
      <c r="L29" s="168" t="str">
        <f t="shared" ca="1" si="8"/>
        <v/>
      </c>
      <c r="M29" s="168" t="str">
        <f t="shared" ca="1" si="8"/>
        <v/>
      </c>
      <c r="N29" s="168" t="str">
        <f t="shared" ca="1" si="8"/>
        <v/>
      </c>
      <c r="O29" s="168" t="str">
        <f t="shared" ca="1" si="8"/>
        <v/>
      </c>
      <c r="P29" s="168" t="str">
        <f t="shared" ca="1" si="8"/>
        <v/>
      </c>
      <c r="Q29" s="168" t="str">
        <f t="shared" ca="1" si="8"/>
        <v/>
      </c>
      <c r="R29" s="168" t="str">
        <f t="shared" ca="1" si="8"/>
        <v/>
      </c>
      <c r="S29" s="168" t="str">
        <f t="shared" ca="1" si="8"/>
        <v/>
      </c>
      <c r="T29" s="168" t="str">
        <f t="shared" ca="1" si="8"/>
        <v/>
      </c>
      <c r="U29" s="168" t="str">
        <f t="shared" ca="1" si="8"/>
        <v/>
      </c>
      <c r="V29" s="168" t="str">
        <f t="shared" ca="1" si="8"/>
        <v/>
      </c>
      <c r="W29" s="168" t="str">
        <f t="shared" ca="1" si="8"/>
        <v/>
      </c>
      <c r="X29" s="168" t="str">
        <f t="shared" ca="1" si="8"/>
        <v/>
      </c>
      <c r="Y29" s="168" t="str">
        <f t="shared" ca="1" si="8"/>
        <v/>
      </c>
      <c r="Z29" s="168" t="str">
        <f t="shared" ca="1" si="8"/>
        <v/>
      </c>
      <c r="AA29" s="168" t="str">
        <f t="shared" ca="1" si="7"/>
        <v/>
      </c>
      <c r="AB29" s="168" t="str">
        <f t="shared" ca="1" si="7"/>
        <v/>
      </c>
      <c r="AC29" s="168" t="str">
        <f t="shared" ca="1" si="7"/>
        <v/>
      </c>
      <c r="AD29" s="168" t="str">
        <f t="shared" ca="1" si="7"/>
        <v/>
      </c>
      <c r="AE29" s="168" t="str">
        <f t="shared" ca="1" si="7"/>
        <v/>
      </c>
      <c r="AF29" s="168" t="str">
        <f t="shared" ca="1" si="7"/>
        <v/>
      </c>
      <c r="AG29" s="168" t="str">
        <f t="shared" ca="1" si="7"/>
        <v/>
      </c>
      <c r="AH29" s="168" t="str">
        <f t="shared" ca="1" si="7"/>
        <v/>
      </c>
      <c r="AI29" s="168" t="str">
        <f t="shared" ca="1" si="7"/>
        <v/>
      </c>
    </row>
    <row r="30" spans="1:35" ht="15" x14ac:dyDescent="0.3">
      <c r="A30" s="189">
        <v>26</v>
      </c>
      <c r="B30" s="189">
        <f ca="1">OFFSET('Matriz de Riesgos'!$F$14,H30,0)</f>
        <v>0</v>
      </c>
      <c r="C30" s="189">
        <f ca="1">OFFSET('Matriz de Riesgos'!$G$8,H30,0)</f>
        <v>0</v>
      </c>
      <c r="D30" s="190">
        <f ca="1">OFFSET('Matriz de Riesgos'!$V$8,H30,0)</f>
        <v>0</v>
      </c>
      <c r="E30" s="190">
        <f ca="1">OFFSET('Matriz de Riesgos'!$W$8,H30,0)</f>
        <v>0</v>
      </c>
      <c r="F30" s="191">
        <f t="shared" ca="1" si="3"/>
        <v>0</v>
      </c>
      <c r="G30" s="168" t="str">
        <f t="shared" ca="1" si="4"/>
        <v>00</v>
      </c>
      <c r="H30" s="168">
        <f t="shared" si="6"/>
        <v>275</v>
      </c>
      <c r="J30" s="201">
        <v>26</v>
      </c>
      <c r="K30" s="168" t="str">
        <f t="shared" ca="1" si="8"/>
        <v/>
      </c>
      <c r="L30" s="168" t="str">
        <f t="shared" ca="1" si="8"/>
        <v/>
      </c>
      <c r="M30" s="168" t="str">
        <f t="shared" ca="1" si="8"/>
        <v/>
      </c>
      <c r="N30" s="168" t="str">
        <f t="shared" ca="1" si="8"/>
        <v/>
      </c>
      <c r="O30" s="168" t="str">
        <f t="shared" ca="1" si="8"/>
        <v/>
      </c>
      <c r="P30" s="168" t="str">
        <f t="shared" ca="1" si="8"/>
        <v/>
      </c>
      <c r="Q30" s="168" t="str">
        <f t="shared" ca="1" si="8"/>
        <v/>
      </c>
      <c r="R30" s="168" t="str">
        <f t="shared" ca="1" si="8"/>
        <v/>
      </c>
      <c r="S30" s="168" t="str">
        <f t="shared" ca="1" si="8"/>
        <v/>
      </c>
      <c r="T30" s="168" t="str">
        <f t="shared" ca="1" si="8"/>
        <v/>
      </c>
      <c r="U30" s="168" t="str">
        <f t="shared" ca="1" si="8"/>
        <v/>
      </c>
      <c r="V30" s="168" t="str">
        <f t="shared" ca="1" si="8"/>
        <v/>
      </c>
      <c r="W30" s="168" t="str">
        <f t="shared" ca="1" si="8"/>
        <v/>
      </c>
      <c r="X30" s="168" t="str">
        <f t="shared" ca="1" si="8"/>
        <v/>
      </c>
      <c r="Y30" s="168" t="str">
        <f t="shared" ca="1" si="8"/>
        <v/>
      </c>
      <c r="Z30" s="168" t="str">
        <f t="shared" ca="1" si="8"/>
        <v/>
      </c>
      <c r="AA30" s="168" t="str">
        <f t="shared" ca="1" si="7"/>
        <v/>
      </c>
      <c r="AB30" s="168" t="str">
        <f t="shared" ca="1" si="7"/>
        <v/>
      </c>
      <c r="AC30" s="168" t="str">
        <f t="shared" ca="1" si="7"/>
        <v/>
      </c>
      <c r="AD30" s="168" t="str">
        <f t="shared" ca="1" si="7"/>
        <v/>
      </c>
      <c r="AE30" s="168" t="str">
        <f t="shared" ca="1" si="7"/>
        <v/>
      </c>
      <c r="AF30" s="168" t="str">
        <f t="shared" ca="1" si="7"/>
        <v/>
      </c>
      <c r="AG30" s="168" t="str">
        <f t="shared" ca="1" si="7"/>
        <v/>
      </c>
      <c r="AH30" s="168" t="str">
        <f t="shared" ca="1" si="7"/>
        <v/>
      </c>
      <c r="AI30" s="168" t="str">
        <f t="shared" ca="1" si="7"/>
        <v/>
      </c>
    </row>
    <row r="31" spans="1:35" ht="15" x14ac:dyDescent="0.3">
      <c r="A31" s="189">
        <v>27</v>
      </c>
      <c r="B31" s="189">
        <f ca="1">OFFSET('Matriz de Riesgos'!$F$14,H31,0)</f>
        <v>0</v>
      </c>
      <c r="C31" s="189">
        <f ca="1">OFFSET('Matriz de Riesgos'!$G$8,H31,0)</f>
        <v>0</v>
      </c>
      <c r="D31" s="190">
        <f ca="1">OFFSET('Matriz de Riesgos'!$V$8,H31,0)</f>
        <v>0</v>
      </c>
      <c r="E31" s="190">
        <f ca="1">OFFSET('Matriz de Riesgos'!$W$8,H31,0)</f>
        <v>0</v>
      </c>
      <c r="F31" s="191">
        <f t="shared" ca="1" si="3"/>
        <v>0</v>
      </c>
      <c r="G31" s="168" t="str">
        <f t="shared" ca="1" si="4"/>
        <v>00</v>
      </c>
      <c r="H31" s="168">
        <f t="shared" si="6"/>
        <v>286</v>
      </c>
      <c r="J31" s="201">
        <v>27</v>
      </c>
      <c r="K31" s="168" t="str">
        <f t="shared" ca="1" si="8"/>
        <v/>
      </c>
      <c r="L31" s="168" t="str">
        <f t="shared" ca="1" si="8"/>
        <v/>
      </c>
      <c r="M31" s="168" t="str">
        <f t="shared" ca="1" si="8"/>
        <v/>
      </c>
      <c r="N31" s="168" t="str">
        <f t="shared" ca="1" si="8"/>
        <v/>
      </c>
      <c r="O31" s="168" t="str">
        <f t="shared" ca="1" si="8"/>
        <v/>
      </c>
      <c r="P31" s="168" t="str">
        <f t="shared" ca="1" si="8"/>
        <v/>
      </c>
      <c r="Q31" s="168" t="str">
        <f t="shared" ca="1" si="8"/>
        <v/>
      </c>
      <c r="R31" s="168" t="str">
        <f t="shared" ca="1" si="8"/>
        <v/>
      </c>
      <c r="S31" s="168" t="str">
        <f t="shared" ca="1" si="8"/>
        <v/>
      </c>
      <c r="T31" s="168" t="str">
        <f t="shared" ca="1" si="8"/>
        <v/>
      </c>
      <c r="U31" s="168" t="str">
        <f t="shared" ca="1" si="8"/>
        <v/>
      </c>
      <c r="V31" s="168" t="str">
        <f t="shared" ca="1" si="8"/>
        <v/>
      </c>
      <c r="W31" s="168" t="str">
        <f t="shared" ca="1" si="8"/>
        <v/>
      </c>
      <c r="X31" s="168" t="str">
        <f t="shared" ca="1" si="8"/>
        <v/>
      </c>
      <c r="Y31" s="168" t="str">
        <f t="shared" ca="1" si="8"/>
        <v/>
      </c>
      <c r="Z31" s="168" t="str">
        <f t="shared" ca="1" si="8"/>
        <v/>
      </c>
      <c r="AA31" s="168" t="str">
        <f t="shared" ca="1" si="7"/>
        <v/>
      </c>
      <c r="AB31" s="168" t="str">
        <f t="shared" ca="1" si="7"/>
        <v/>
      </c>
      <c r="AC31" s="168" t="str">
        <f t="shared" ca="1" si="7"/>
        <v/>
      </c>
      <c r="AD31" s="168" t="str">
        <f t="shared" ca="1" si="7"/>
        <v/>
      </c>
      <c r="AE31" s="168" t="str">
        <f t="shared" ca="1" si="7"/>
        <v/>
      </c>
      <c r="AF31" s="168" t="str">
        <f t="shared" ca="1" si="7"/>
        <v/>
      </c>
      <c r="AG31" s="168" t="str">
        <f t="shared" ca="1" si="7"/>
        <v/>
      </c>
      <c r="AH31" s="168" t="str">
        <f t="shared" ca="1" si="7"/>
        <v/>
      </c>
      <c r="AI31" s="168" t="str">
        <f t="shared" ca="1" si="7"/>
        <v/>
      </c>
    </row>
    <row r="32" spans="1:35" ht="15" x14ac:dyDescent="0.3">
      <c r="A32" s="189">
        <v>28</v>
      </c>
      <c r="B32" s="189">
        <f ca="1">OFFSET('Matriz de Riesgos'!$F$14,H32,0)</f>
        <v>0</v>
      </c>
      <c r="C32" s="189">
        <f ca="1">OFFSET('Matriz de Riesgos'!$G$8,H32,0)</f>
        <v>0</v>
      </c>
      <c r="D32" s="190">
        <f ca="1">OFFSET('Matriz de Riesgos'!$V$8,H32,0)</f>
        <v>0</v>
      </c>
      <c r="E32" s="190">
        <f ca="1">OFFSET('Matriz de Riesgos'!$W$8,H32,0)</f>
        <v>0</v>
      </c>
      <c r="F32" s="191">
        <f t="shared" ca="1" si="3"/>
        <v>0</v>
      </c>
      <c r="G32" s="168" t="str">
        <f t="shared" ca="1" si="4"/>
        <v>00</v>
      </c>
      <c r="H32" s="168">
        <f t="shared" si="6"/>
        <v>297</v>
      </c>
      <c r="J32" s="201">
        <v>28</v>
      </c>
      <c r="K32" s="168" t="str">
        <f t="shared" ca="1" si="8"/>
        <v/>
      </c>
      <c r="L32" s="168" t="str">
        <f t="shared" ca="1" si="8"/>
        <v/>
      </c>
      <c r="M32" s="168" t="str">
        <f t="shared" ca="1" si="8"/>
        <v/>
      </c>
      <c r="N32" s="168" t="str">
        <f t="shared" ca="1" si="8"/>
        <v/>
      </c>
      <c r="O32" s="168" t="str">
        <f t="shared" ca="1" si="8"/>
        <v/>
      </c>
      <c r="P32" s="168" t="str">
        <f t="shared" ca="1" si="8"/>
        <v/>
      </c>
      <c r="Q32" s="168" t="str">
        <f t="shared" ca="1" si="8"/>
        <v/>
      </c>
      <c r="R32" s="168" t="str">
        <f t="shared" ca="1" si="8"/>
        <v/>
      </c>
      <c r="S32" s="168" t="str">
        <f t="shared" ca="1" si="8"/>
        <v/>
      </c>
      <c r="T32" s="168" t="str">
        <f t="shared" ca="1" si="8"/>
        <v/>
      </c>
      <c r="U32" s="168" t="str">
        <f t="shared" ca="1" si="8"/>
        <v/>
      </c>
      <c r="V32" s="168" t="str">
        <f t="shared" ca="1" si="8"/>
        <v/>
      </c>
      <c r="W32" s="168" t="str">
        <f t="shared" ca="1" si="8"/>
        <v/>
      </c>
      <c r="X32" s="168" t="str">
        <f t="shared" ca="1" si="8"/>
        <v/>
      </c>
      <c r="Y32" s="168" t="str">
        <f t="shared" ca="1" si="8"/>
        <v/>
      </c>
      <c r="Z32" s="168" t="str">
        <f t="shared" ca="1" si="8"/>
        <v/>
      </c>
      <c r="AA32" s="168" t="str">
        <f t="shared" ca="1" si="7"/>
        <v/>
      </c>
      <c r="AB32" s="168" t="str">
        <f t="shared" ca="1" si="7"/>
        <v/>
      </c>
      <c r="AC32" s="168" t="str">
        <f t="shared" ca="1" si="7"/>
        <v/>
      </c>
      <c r="AD32" s="168" t="str">
        <f t="shared" ca="1" si="7"/>
        <v/>
      </c>
      <c r="AE32" s="168" t="str">
        <f t="shared" ca="1" si="7"/>
        <v/>
      </c>
      <c r="AF32" s="168" t="str">
        <f t="shared" ca="1" si="7"/>
        <v/>
      </c>
      <c r="AG32" s="168" t="str">
        <f t="shared" ca="1" si="7"/>
        <v/>
      </c>
      <c r="AH32" s="168" t="str">
        <f t="shared" ca="1" si="7"/>
        <v/>
      </c>
      <c r="AI32" s="168" t="str">
        <f t="shared" ca="1" si="7"/>
        <v/>
      </c>
    </row>
    <row r="33" spans="1:35" ht="15" x14ac:dyDescent="0.3">
      <c r="A33" s="189">
        <v>29</v>
      </c>
      <c r="B33" s="189">
        <f ca="1">OFFSET('Matriz de Riesgos'!$F$14,H33,0)</f>
        <v>0</v>
      </c>
      <c r="C33" s="189">
        <f ca="1">OFFSET('Matriz de Riesgos'!$G$8,H33,0)</f>
        <v>0</v>
      </c>
      <c r="D33" s="190">
        <f ca="1">OFFSET('Matriz de Riesgos'!$V$8,H33,0)</f>
        <v>0</v>
      </c>
      <c r="E33" s="190">
        <f ca="1">OFFSET('Matriz de Riesgos'!$W$8,H33,0)</f>
        <v>0</v>
      </c>
      <c r="F33" s="191">
        <f t="shared" ca="1" si="3"/>
        <v>0</v>
      </c>
      <c r="G33" s="168" t="str">
        <f t="shared" ca="1" si="4"/>
        <v>00</v>
      </c>
      <c r="H33" s="168">
        <f t="shared" si="6"/>
        <v>308</v>
      </c>
      <c r="J33" s="201">
        <v>29</v>
      </c>
      <c r="K33" s="168" t="str">
        <f t="shared" ca="1" si="8"/>
        <v/>
      </c>
      <c r="L33" s="168" t="str">
        <f t="shared" ca="1" si="8"/>
        <v/>
      </c>
      <c r="M33" s="168" t="str">
        <f t="shared" ca="1" si="8"/>
        <v/>
      </c>
      <c r="N33" s="168" t="str">
        <f t="shared" ca="1" si="8"/>
        <v/>
      </c>
      <c r="O33" s="168" t="str">
        <f t="shared" ca="1" si="8"/>
        <v/>
      </c>
      <c r="P33" s="168" t="str">
        <f t="shared" ca="1" si="8"/>
        <v/>
      </c>
      <c r="Q33" s="168" t="str">
        <f t="shared" ca="1" si="8"/>
        <v/>
      </c>
      <c r="R33" s="168" t="str">
        <f t="shared" ca="1" si="8"/>
        <v/>
      </c>
      <c r="S33" s="168" t="str">
        <f t="shared" ca="1" si="8"/>
        <v/>
      </c>
      <c r="T33" s="168" t="str">
        <f t="shared" ca="1" si="8"/>
        <v/>
      </c>
      <c r="U33" s="168" t="str">
        <f t="shared" ca="1" si="8"/>
        <v/>
      </c>
      <c r="V33" s="168" t="str">
        <f t="shared" ca="1" si="8"/>
        <v/>
      </c>
      <c r="W33" s="168" t="str">
        <f t="shared" ca="1" si="8"/>
        <v/>
      </c>
      <c r="X33" s="168" t="str">
        <f t="shared" ca="1" si="8"/>
        <v/>
      </c>
      <c r="Y33" s="168" t="str">
        <f t="shared" ca="1" si="8"/>
        <v/>
      </c>
      <c r="Z33" s="168" t="str">
        <f t="shared" ca="1" si="8"/>
        <v/>
      </c>
      <c r="AA33" s="168" t="str">
        <f t="shared" ca="1" si="7"/>
        <v/>
      </c>
      <c r="AB33" s="168" t="str">
        <f t="shared" ca="1" si="7"/>
        <v/>
      </c>
      <c r="AC33" s="168" t="str">
        <f t="shared" ca="1" si="7"/>
        <v/>
      </c>
      <c r="AD33" s="168" t="str">
        <f t="shared" ca="1" si="7"/>
        <v/>
      </c>
      <c r="AE33" s="168" t="str">
        <f t="shared" ca="1" si="7"/>
        <v/>
      </c>
      <c r="AF33" s="168" t="str">
        <f t="shared" ca="1" si="7"/>
        <v/>
      </c>
      <c r="AG33" s="168" t="str">
        <f t="shared" ca="1" si="7"/>
        <v/>
      </c>
      <c r="AH33" s="168" t="str">
        <f t="shared" ca="1" si="7"/>
        <v/>
      </c>
      <c r="AI33" s="168" t="str">
        <f t="shared" ca="1" si="7"/>
        <v/>
      </c>
    </row>
    <row r="34" spans="1:35" ht="15" x14ac:dyDescent="0.3">
      <c r="A34" s="189">
        <v>30</v>
      </c>
      <c r="B34" s="189">
        <f ca="1">OFFSET('Matriz de Riesgos'!$F$14,H34,0)</f>
        <v>0</v>
      </c>
      <c r="C34" s="189">
        <f ca="1">OFFSET('Matriz de Riesgos'!$G$8,H34,0)</f>
        <v>0</v>
      </c>
      <c r="D34" s="190">
        <f ca="1">OFFSET('Matriz de Riesgos'!$V$8,H34,0)</f>
        <v>0</v>
      </c>
      <c r="E34" s="190">
        <f ca="1">OFFSET('Matriz de Riesgos'!$W$8,H34,0)</f>
        <v>0</v>
      </c>
      <c r="F34" s="191">
        <f t="shared" ca="1" si="3"/>
        <v>0</v>
      </c>
      <c r="G34" s="168" t="str">
        <f t="shared" ca="1" si="4"/>
        <v>00</v>
      </c>
      <c r="H34" s="168">
        <f t="shared" si="6"/>
        <v>319</v>
      </c>
      <c r="J34" s="201">
        <v>30</v>
      </c>
      <c r="K34" s="168" t="str">
        <f t="shared" ca="1" si="8"/>
        <v/>
      </c>
      <c r="L34" s="168" t="str">
        <f t="shared" ca="1" si="8"/>
        <v/>
      </c>
      <c r="M34" s="168" t="str">
        <f t="shared" ca="1" si="8"/>
        <v/>
      </c>
      <c r="N34" s="168" t="str">
        <f t="shared" ca="1" si="8"/>
        <v/>
      </c>
      <c r="O34" s="168" t="str">
        <f t="shared" ca="1" si="8"/>
        <v/>
      </c>
      <c r="P34" s="168" t="str">
        <f t="shared" ca="1" si="8"/>
        <v/>
      </c>
      <c r="Q34" s="168" t="str">
        <f t="shared" ca="1" si="8"/>
        <v/>
      </c>
      <c r="R34" s="168" t="str">
        <f t="shared" ca="1" si="8"/>
        <v/>
      </c>
      <c r="S34" s="168" t="str">
        <f t="shared" ca="1" si="8"/>
        <v/>
      </c>
      <c r="T34" s="168" t="str">
        <f t="shared" ca="1" si="8"/>
        <v/>
      </c>
      <c r="U34" s="168" t="str">
        <f t="shared" ca="1" si="8"/>
        <v/>
      </c>
      <c r="V34" s="168" t="str">
        <f t="shared" ca="1" si="8"/>
        <v/>
      </c>
      <c r="W34" s="168" t="str">
        <f t="shared" ca="1" si="8"/>
        <v/>
      </c>
      <c r="X34" s="168" t="str">
        <f t="shared" ca="1" si="8"/>
        <v/>
      </c>
      <c r="Y34" s="168" t="str">
        <f t="shared" ca="1" si="8"/>
        <v/>
      </c>
      <c r="Z34" s="168" t="str">
        <f t="shared" ca="1" si="8"/>
        <v/>
      </c>
      <c r="AA34" s="168" t="str">
        <f t="shared" ca="1" si="7"/>
        <v/>
      </c>
      <c r="AB34" s="168" t="str">
        <f t="shared" ca="1" si="7"/>
        <v/>
      </c>
      <c r="AC34" s="168" t="str">
        <f t="shared" ca="1" si="7"/>
        <v/>
      </c>
      <c r="AD34" s="168" t="str">
        <f t="shared" ca="1" si="7"/>
        <v/>
      </c>
      <c r="AE34" s="168" t="str">
        <f t="shared" ca="1" si="7"/>
        <v/>
      </c>
      <c r="AF34" s="168" t="str">
        <f t="shared" ca="1" si="7"/>
        <v/>
      </c>
      <c r="AG34" s="168" t="str">
        <f t="shared" ca="1" si="7"/>
        <v/>
      </c>
      <c r="AH34" s="168" t="str">
        <f t="shared" ca="1" si="7"/>
        <v/>
      </c>
      <c r="AI34" s="168" t="str">
        <f t="shared" ca="1" si="7"/>
        <v/>
      </c>
    </row>
    <row r="35" spans="1:35" ht="15" x14ac:dyDescent="0.3">
      <c r="A35" s="189">
        <v>31</v>
      </c>
      <c r="B35" s="189">
        <f ca="1">OFFSET('Matriz de Riesgos'!$F$14,H35,0)</f>
        <v>0</v>
      </c>
      <c r="C35" s="189">
        <f ca="1">OFFSET('Matriz de Riesgos'!$G$8,H35,0)</f>
        <v>0</v>
      </c>
      <c r="D35" s="190">
        <f ca="1">OFFSET('Matriz de Riesgos'!$V$8,H35,0)</f>
        <v>0</v>
      </c>
      <c r="E35" s="190">
        <f ca="1">OFFSET('Matriz de Riesgos'!$W$8,H35,0)</f>
        <v>0</v>
      </c>
      <c r="F35" s="191">
        <f t="shared" ca="1" si="3"/>
        <v>0</v>
      </c>
      <c r="G35" s="168" t="str">
        <f t="shared" ca="1" si="4"/>
        <v>00</v>
      </c>
      <c r="H35" s="168">
        <f t="shared" si="6"/>
        <v>330</v>
      </c>
      <c r="J35" s="201">
        <v>31</v>
      </c>
      <c r="K35" s="168" t="str">
        <f t="shared" ca="1" si="8"/>
        <v/>
      </c>
      <c r="L35" s="168" t="str">
        <f t="shared" ca="1" si="8"/>
        <v/>
      </c>
      <c r="M35" s="168" t="str">
        <f t="shared" ca="1" si="8"/>
        <v/>
      </c>
      <c r="N35" s="168" t="str">
        <f t="shared" ca="1" si="8"/>
        <v/>
      </c>
      <c r="O35" s="168" t="str">
        <f t="shared" ca="1" si="8"/>
        <v/>
      </c>
      <c r="P35" s="168" t="str">
        <f t="shared" ca="1" si="8"/>
        <v/>
      </c>
      <c r="Q35" s="168" t="str">
        <f t="shared" ca="1" si="8"/>
        <v/>
      </c>
      <c r="R35" s="168" t="str">
        <f t="shared" ca="1" si="8"/>
        <v/>
      </c>
      <c r="S35" s="168" t="str">
        <f t="shared" ca="1" si="8"/>
        <v/>
      </c>
      <c r="T35" s="168" t="str">
        <f t="shared" ca="1" si="8"/>
        <v/>
      </c>
      <c r="U35" s="168" t="str">
        <f t="shared" ca="1" si="8"/>
        <v/>
      </c>
      <c r="V35" s="168" t="str">
        <f t="shared" ca="1" si="8"/>
        <v/>
      </c>
      <c r="W35" s="168" t="str">
        <f t="shared" ca="1" si="8"/>
        <v/>
      </c>
      <c r="X35" s="168" t="str">
        <f t="shared" ca="1" si="8"/>
        <v/>
      </c>
      <c r="Y35" s="168" t="str">
        <f t="shared" ca="1" si="8"/>
        <v/>
      </c>
      <c r="Z35" s="168" t="str">
        <f t="shared" ca="1" si="8"/>
        <v/>
      </c>
      <c r="AA35" s="168" t="str">
        <f t="shared" ca="1" si="7"/>
        <v/>
      </c>
      <c r="AB35" s="168" t="str">
        <f t="shared" ca="1" si="7"/>
        <v/>
      </c>
      <c r="AC35" s="168" t="str">
        <f t="shared" ca="1" si="7"/>
        <v/>
      </c>
      <c r="AD35" s="168" t="str">
        <f t="shared" ca="1" si="7"/>
        <v/>
      </c>
      <c r="AE35" s="168" t="str">
        <f t="shared" ca="1" si="7"/>
        <v/>
      </c>
      <c r="AF35" s="168" t="str">
        <f t="shared" ca="1" si="7"/>
        <v/>
      </c>
      <c r="AG35" s="168" t="str">
        <f t="shared" ca="1" si="7"/>
        <v/>
      </c>
      <c r="AH35" s="168" t="str">
        <f t="shared" ca="1" si="7"/>
        <v/>
      </c>
      <c r="AI35" s="168" t="str">
        <f t="shared" ca="1" si="7"/>
        <v/>
      </c>
    </row>
    <row r="36" spans="1:35" ht="15" x14ac:dyDescent="0.3">
      <c r="A36" s="189">
        <v>32</v>
      </c>
      <c r="B36" s="189">
        <f ca="1">OFFSET('Matriz de Riesgos'!$F$14,H36,0)</f>
        <v>0</v>
      </c>
      <c r="C36" s="189">
        <f ca="1">OFFSET('Matriz de Riesgos'!$G$8,H36,0)</f>
        <v>0</v>
      </c>
      <c r="D36" s="190">
        <f ca="1">OFFSET('Matriz de Riesgos'!$V$8,H36,0)</f>
        <v>0</v>
      </c>
      <c r="E36" s="190">
        <f ca="1">OFFSET('Matriz de Riesgos'!$W$8,H36,0)</f>
        <v>0</v>
      </c>
      <c r="F36" s="191">
        <f t="shared" ca="1" si="3"/>
        <v>0</v>
      </c>
      <c r="G36" s="168" t="str">
        <f t="shared" ca="1" si="4"/>
        <v>00</v>
      </c>
      <c r="H36" s="168">
        <f t="shared" si="6"/>
        <v>341</v>
      </c>
      <c r="J36" s="201">
        <v>32</v>
      </c>
      <c r="K36" s="168" t="str">
        <f t="shared" ca="1" si="8"/>
        <v/>
      </c>
      <c r="L36" s="168" t="str">
        <f t="shared" ca="1" si="8"/>
        <v/>
      </c>
      <c r="M36" s="168" t="str">
        <f t="shared" ca="1" si="8"/>
        <v/>
      </c>
      <c r="N36" s="168" t="str">
        <f t="shared" ca="1" si="8"/>
        <v/>
      </c>
      <c r="O36" s="168" t="str">
        <f t="shared" ca="1" si="8"/>
        <v/>
      </c>
      <c r="P36" s="168" t="str">
        <f t="shared" ca="1" si="8"/>
        <v/>
      </c>
      <c r="Q36" s="168" t="str">
        <f t="shared" ca="1" si="8"/>
        <v/>
      </c>
      <c r="R36" s="168" t="str">
        <f t="shared" ca="1" si="8"/>
        <v/>
      </c>
      <c r="S36" s="168" t="str">
        <f t="shared" ca="1" si="8"/>
        <v/>
      </c>
      <c r="T36" s="168" t="str">
        <f t="shared" ca="1" si="8"/>
        <v/>
      </c>
      <c r="U36" s="168" t="str">
        <f t="shared" ca="1" si="8"/>
        <v/>
      </c>
      <c r="V36" s="168" t="str">
        <f t="shared" ca="1" si="8"/>
        <v/>
      </c>
      <c r="W36" s="168" t="str">
        <f t="shared" ca="1" si="8"/>
        <v/>
      </c>
      <c r="X36" s="168" t="str">
        <f t="shared" ca="1" si="8"/>
        <v/>
      </c>
      <c r="Y36" s="168" t="str">
        <f t="shared" ca="1" si="8"/>
        <v/>
      </c>
      <c r="Z36" s="168" t="str">
        <f t="shared" ca="1" si="8"/>
        <v/>
      </c>
      <c r="AA36" s="168" t="str">
        <f t="shared" ref="AA36:AI36" ca="1" si="9">IF($G36=AA$4,$B36&amp;";","")</f>
        <v/>
      </c>
      <c r="AB36" s="168" t="str">
        <f t="shared" ca="1" si="9"/>
        <v/>
      </c>
      <c r="AC36" s="168" t="str">
        <f t="shared" ca="1" si="9"/>
        <v/>
      </c>
      <c r="AD36" s="168" t="str">
        <f t="shared" ca="1" si="9"/>
        <v/>
      </c>
      <c r="AE36" s="168" t="str">
        <f t="shared" ca="1" si="9"/>
        <v/>
      </c>
      <c r="AF36" s="168" t="str">
        <f t="shared" ca="1" si="9"/>
        <v/>
      </c>
      <c r="AG36" s="168" t="str">
        <f t="shared" ca="1" si="9"/>
        <v/>
      </c>
      <c r="AH36" s="168" t="str">
        <f t="shared" ca="1" si="9"/>
        <v/>
      </c>
      <c r="AI36" s="168" t="str">
        <f t="shared" ca="1" si="9"/>
        <v/>
      </c>
    </row>
    <row r="37" spans="1:35" ht="15" x14ac:dyDescent="0.3">
      <c r="A37" s="189">
        <v>33</v>
      </c>
      <c r="B37" s="189">
        <f ca="1">OFFSET('Matriz de Riesgos'!$F$14,H37,0)</f>
        <v>0</v>
      </c>
      <c r="C37" s="189">
        <f ca="1">OFFSET('Matriz de Riesgos'!$G$8,H37,0)</f>
        <v>0</v>
      </c>
      <c r="D37" s="190">
        <f ca="1">OFFSET('Matriz de Riesgos'!$V$8,H37,0)</f>
        <v>0</v>
      </c>
      <c r="E37" s="190">
        <f ca="1">OFFSET('Matriz de Riesgos'!$W$8,H37,0)</f>
        <v>0</v>
      </c>
      <c r="F37" s="191">
        <f t="shared" ca="1" si="3"/>
        <v>0</v>
      </c>
      <c r="G37" s="168" t="str">
        <f t="shared" ca="1" si="4"/>
        <v>00</v>
      </c>
      <c r="H37" s="168">
        <f t="shared" si="6"/>
        <v>352</v>
      </c>
      <c r="J37" s="201">
        <v>33</v>
      </c>
      <c r="K37" s="168" t="str">
        <f t="shared" ca="1" si="8"/>
        <v/>
      </c>
      <c r="L37" s="168" t="str">
        <f t="shared" ca="1" si="8"/>
        <v/>
      </c>
      <c r="M37" s="168" t="str">
        <f t="shared" ca="1" si="8"/>
        <v/>
      </c>
      <c r="N37" s="168" t="str">
        <f t="shared" ca="1" si="8"/>
        <v/>
      </c>
      <c r="O37" s="168" t="str">
        <f t="shared" ca="1" si="8"/>
        <v/>
      </c>
      <c r="P37" s="168" t="str">
        <f t="shared" ca="1" si="8"/>
        <v/>
      </c>
      <c r="Q37" s="168" t="str">
        <f t="shared" ca="1" si="8"/>
        <v/>
      </c>
      <c r="R37" s="168" t="str">
        <f t="shared" ca="1" si="8"/>
        <v/>
      </c>
      <c r="S37" s="168" t="str">
        <f t="shared" ca="1" si="8"/>
        <v/>
      </c>
      <c r="T37" s="168" t="str">
        <f t="shared" ca="1" si="8"/>
        <v/>
      </c>
      <c r="U37" s="168" t="str">
        <f t="shared" ca="1" si="8"/>
        <v/>
      </c>
      <c r="V37" s="168" t="str">
        <f t="shared" ca="1" si="8"/>
        <v/>
      </c>
      <c r="W37" s="168" t="str">
        <f t="shared" ca="1" si="8"/>
        <v/>
      </c>
      <c r="X37" s="168" t="str">
        <f t="shared" ca="1" si="8"/>
        <v/>
      </c>
      <c r="Y37" s="168" t="str">
        <f t="shared" ca="1" si="8"/>
        <v/>
      </c>
      <c r="Z37" s="168" t="str">
        <f t="shared" ref="Z37:AI52" ca="1" si="10">IF($G37=Z$4,$B37&amp;";","")</f>
        <v/>
      </c>
      <c r="AA37" s="168" t="str">
        <f t="shared" ca="1" si="10"/>
        <v/>
      </c>
      <c r="AB37" s="168" t="str">
        <f t="shared" ca="1" si="10"/>
        <v/>
      </c>
      <c r="AC37" s="168" t="str">
        <f t="shared" ca="1" si="10"/>
        <v/>
      </c>
      <c r="AD37" s="168" t="str">
        <f t="shared" ca="1" si="10"/>
        <v/>
      </c>
      <c r="AE37" s="168" t="str">
        <f t="shared" ca="1" si="10"/>
        <v/>
      </c>
      <c r="AF37" s="168" t="str">
        <f t="shared" ca="1" si="10"/>
        <v/>
      </c>
      <c r="AG37" s="168" t="str">
        <f t="shared" ca="1" si="10"/>
        <v/>
      </c>
      <c r="AH37" s="168" t="str">
        <f t="shared" ca="1" si="10"/>
        <v/>
      </c>
      <c r="AI37" s="168" t="str">
        <f t="shared" ca="1" si="10"/>
        <v/>
      </c>
    </row>
    <row r="38" spans="1:35" ht="15" x14ac:dyDescent="0.3">
      <c r="A38" s="189">
        <v>34</v>
      </c>
      <c r="B38" s="189">
        <f ca="1">OFFSET('Matriz de Riesgos'!$F$14,H38,0)</f>
        <v>0</v>
      </c>
      <c r="C38" s="189">
        <f ca="1">OFFSET('Matriz de Riesgos'!$G$8,H38,0)</f>
        <v>0</v>
      </c>
      <c r="D38" s="190">
        <f ca="1">OFFSET('Matriz de Riesgos'!$V$8,H38,0)</f>
        <v>0</v>
      </c>
      <c r="E38" s="190">
        <f ca="1">OFFSET('Matriz de Riesgos'!$W$8,H38,0)</f>
        <v>0</v>
      </c>
      <c r="F38" s="191">
        <f t="shared" ca="1" si="3"/>
        <v>0</v>
      </c>
      <c r="G38" s="168" t="str">
        <f t="shared" ca="1" si="4"/>
        <v>00</v>
      </c>
      <c r="H38" s="168">
        <f t="shared" si="6"/>
        <v>363</v>
      </c>
      <c r="J38" s="201">
        <v>34</v>
      </c>
      <c r="K38" s="168" t="str">
        <f t="shared" ref="K38:Z53" ca="1" si="11">IF($G38=K$4,$B38&amp;";","")</f>
        <v/>
      </c>
      <c r="L38" s="168" t="str">
        <f t="shared" ca="1" si="11"/>
        <v/>
      </c>
      <c r="M38" s="168" t="str">
        <f t="shared" ca="1" si="11"/>
        <v/>
      </c>
      <c r="N38" s="168" t="str">
        <f t="shared" ca="1" si="11"/>
        <v/>
      </c>
      <c r="O38" s="168" t="str">
        <f t="shared" ca="1" si="11"/>
        <v/>
      </c>
      <c r="P38" s="168" t="str">
        <f t="shared" ca="1" si="11"/>
        <v/>
      </c>
      <c r="Q38" s="168" t="str">
        <f t="shared" ca="1" si="11"/>
        <v/>
      </c>
      <c r="R38" s="168" t="str">
        <f t="shared" ca="1" si="11"/>
        <v/>
      </c>
      <c r="S38" s="168" t="str">
        <f t="shared" ca="1" si="11"/>
        <v/>
      </c>
      <c r="T38" s="168" t="str">
        <f t="shared" ca="1" si="11"/>
        <v/>
      </c>
      <c r="U38" s="168" t="str">
        <f t="shared" ca="1" si="11"/>
        <v/>
      </c>
      <c r="V38" s="168" t="str">
        <f t="shared" ca="1" si="11"/>
        <v/>
      </c>
      <c r="W38" s="168" t="str">
        <f t="shared" ca="1" si="11"/>
        <v/>
      </c>
      <c r="X38" s="168" t="str">
        <f t="shared" ca="1" si="11"/>
        <v/>
      </c>
      <c r="Y38" s="168" t="str">
        <f t="shared" ca="1" si="11"/>
        <v/>
      </c>
      <c r="Z38" s="168" t="str">
        <f t="shared" ca="1" si="11"/>
        <v/>
      </c>
      <c r="AA38" s="168" t="str">
        <f t="shared" ca="1" si="10"/>
        <v/>
      </c>
      <c r="AB38" s="168" t="str">
        <f t="shared" ca="1" si="10"/>
        <v/>
      </c>
      <c r="AC38" s="168" t="str">
        <f t="shared" ca="1" si="10"/>
        <v/>
      </c>
      <c r="AD38" s="168" t="str">
        <f t="shared" ca="1" si="10"/>
        <v/>
      </c>
      <c r="AE38" s="168" t="str">
        <f t="shared" ca="1" si="10"/>
        <v/>
      </c>
      <c r="AF38" s="168" t="str">
        <f t="shared" ca="1" si="10"/>
        <v/>
      </c>
      <c r="AG38" s="168" t="str">
        <f t="shared" ca="1" si="10"/>
        <v/>
      </c>
      <c r="AH38" s="168" t="str">
        <f t="shared" ca="1" si="10"/>
        <v/>
      </c>
      <c r="AI38" s="168" t="str">
        <f t="shared" ca="1" si="10"/>
        <v/>
      </c>
    </row>
    <row r="39" spans="1:35" ht="15" x14ac:dyDescent="0.3">
      <c r="A39" s="189">
        <v>35</v>
      </c>
      <c r="B39" s="189">
        <f ca="1">OFFSET('Matriz de Riesgos'!$F$14,H39,0)</f>
        <v>0</v>
      </c>
      <c r="C39" s="189">
        <f ca="1">OFFSET('Matriz de Riesgos'!$G$8,H39,0)</f>
        <v>0</v>
      </c>
      <c r="D39" s="190">
        <f ca="1">OFFSET('Matriz de Riesgos'!$V$8,H39,0)</f>
        <v>0</v>
      </c>
      <c r="E39" s="190">
        <f ca="1">OFFSET('Matriz de Riesgos'!$W$8,H39,0)</f>
        <v>0</v>
      </c>
      <c r="F39" s="191">
        <f t="shared" ca="1" si="3"/>
        <v>0</v>
      </c>
      <c r="G39" s="168" t="str">
        <f t="shared" ca="1" si="4"/>
        <v>00</v>
      </c>
      <c r="H39" s="168">
        <f t="shared" si="6"/>
        <v>374</v>
      </c>
      <c r="J39" s="201">
        <v>35</v>
      </c>
      <c r="K39" s="168" t="str">
        <f t="shared" ca="1" si="11"/>
        <v/>
      </c>
      <c r="L39" s="168" t="str">
        <f t="shared" ca="1" si="11"/>
        <v/>
      </c>
      <c r="M39" s="168" t="str">
        <f t="shared" ca="1" si="11"/>
        <v/>
      </c>
      <c r="N39" s="168" t="str">
        <f t="shared" ca="1" si="11"/>
        <v/>
      </c>
      <c r="O39" s="168" t="str">
        <f t="shared" ca="1" si="11"/>
        <v/>
      </c>
      <c r="P39" s="168" t="str">
        <f t="shared" ca="1" si="11"/>
        <v/>
      </c>
      <c r="Q39" s="168" t="str">
        <f t="shared" ca="1" si="11"/>
        <v/>
      </c>
      <c r="R39" s="168" t="str">
        <f t="shared" ca="1" si="11"/>
        <v/>
      </c>
      <c r="S39" s="168" t="str">
        <f t="shared" ca="1" si="11"/>
        <v/>
      </c>
      <c r="T39" s="168" t="str">
        <f t="shared" ca="1" si="11"/>
        <v/>
      </c>
      <c r="U39" s="168" t="str">
        <f t="shared" ca="1" si="11"/>
        <v/>
      </c>
      <c r="V39" s="168" t="str">
        <f t="shared" ca="1" si="11"/>
        <v/>
      </c>
      <c r="W39" s="168" t="str">
        <f t="shared" ca="1" si="11"/>
        <v/>
      </c>
      <c r="X39" s="168" t="str">
        <f t="shared" ca="1" si="11"/>
        <v/>
      </c>
      <c r="Y39" s="168" t="str">
        <f t="shared" ca="1" si="11"/>
        <v/>
      </c>
      <c r="Z39" s="168" t="str">
        <f t="shared" ca="1" si="11"/>
        <v/>
      </c>
      <c r="AA39" s="168" t="str">
        <f t="shared" ca="1" si="10"/>
        <v/>
      </c>
      <c r="AB39" s="168" t="str">
        <f t="shared" ca="1" si="10"/>
        <v/>
      </c>
      <c r="AC39" s="168" t="str">
        <f t="shared" ca="1" si="10"/>
        <v/>
      </c>
      <c r="AD39" s="168" t="str">
        <f t="shared" ca="1" si="10"/>
        <v/>
      </c>
      <c r="AE39" s="168" t="str">
        <f t="shared" ca="1" si="10"/>
        <v/>
      </c>
      <c r="AF39" s="168" t="str">
        <f t="shared" ca="1" si="10"/>
        <v/>
      </c>
      <c r="AG39" s="168" t="str">
        <f t="shared" ca="1" si="10"/>
        <v/>
      </c>
      <c r="AH39" s="168" t="str">
        <f t="shared" ca="1" si="10"/>
        <v/>
      </c>
      <c r="AI39" s="168" t="str">
        <f t="shared" ca="1" si="10"/>
        <v/>
      </c>
    </row>
    <row r="40" spans="1:35" ht="15" x14ac:dyDescent="0.3">
      <c r="A40" s="189">
        <v>36</v>
      </c>
      <c r="B40" s="189">
        <f ca="1">OFFSET('Matriz de Riesgos'!$F$14,H40,0)</f>
        <v>0</v>
      </c>
      <c r="C40" s="189">
        <f ca="1">OFFSET('Matriz de Riesgos'!$G$8,H40,0)</f>
        <v>0</v>
      </c>
      <c r="D40" s="190">
        <f ca="1">OFFSET('Matriz de Riesgos'!$V$8,H40,0)</f>
        <v>0</v>
      </c>
      <c r="E40" s="190">
        <f ca="1">OFFSET('Matriz de Riesgos'!$W$8,H40,0)</f>
        <v>0</v>
      </c>
      <c r="F40" s="191">
        <f t="shared" ca="1" si="3"/>
        <v>0</v>
      </c>
      <c r="G40" s="168" t="str">
        <f t="shared" ca="1" si="4"/>
        <v>00</v>
      </c>
      <c r="H40" s="168">
        <f t="shared" si="6"/>
        <v>385</v>
      </c>
      <c r="J40" s="201">
        <v>36</v>
      </c>
      <c r="K40" s="168" t="str">
        <f t="shared" ca="1" si="11"/>
        <v/>
      </c>
      <c r="L40" s="168" t="str">
        <f t="shared" ca="1" si="11"/>
        <v/>
      </c>
      <c r="M40" s="168" t="str">
        <f t="shared" ca="1" si="11"/>
        <v/>
      </c>
      <c r="N40" s="168" t="str">
        <f t="shared" ca="1" si="11"/>
        <v/>
      </c>
      <c r="O40" s="168" t="str">
        <f t="shared" ca="1" si="11"/>
        <v/>
      </c>
      <c r="P40" s="168" t="str">
        <f t="shared" ca="1" si="11"/>
        <v/>
      </c>
      <c r="Q40" s="168" t="str">
        <f t="shared" ca="1" si="11"/>
        <v/>
      </c>
      <c r="R40" s="168" t="str">
        <f t="shared" ca="1" si="11"/>
        <v/>
      </c>
      <c r="S40" s="168" t="str">
        <f t="shared" ca="1" si="11"/>
        <v/>
      </c>
      <c r="T40" s="168" t="str">
        <f t="shared" ca="1" si="11"/>
        <v/>
      </c>
      <c r="U40" s="168" t="str">
        <f t="shared" ca="1" si="11"/>
        <v/>
      </c>
      <c r="V40" s="168" t="str">
        <f t="shared" ca="1" si="11"/>
        <v/>
      </c>
      <c r="W40" s="168" t="str">
        <f t="shared" ca="1" si="11"/>
        <v/>
      </c>
      <c r="X40" s="168" t="str">
        <f t="shared" ca="1" si="11"/>
        <v/>
      </c>
      <c r="Y40" s="168" t="str">
        <f t="shared" ca="1" si="11"/>
        <v/>
      </c>
      <c r="Z40" s="168" t="str">
        <f t="shared" ca="1" si="11"/>
        <v/>
      </c>
      <c r="AA40" s="168" t="str">
        <f t="shared" ca="1" si="10"/>
        <v/>
      </c>
      <c r="AB40" s="168" t="str">
        <f t="shared" ca="1" si="10"/>
        <v/>
      </c>
      <c r="AC40" s="168" t="str">
        <f t="shared" ca="1" si="10"/>
        <v/>
      </c>
      <c r="AD40" s="168" t="str">
        <f t="shared" ca="1" si="10"/>
        <v/>
      </c>
      <c r="AE40" s="168" t="str">
        <f t="shared" ca="1" si="10"/>
        <v/>
      </c>
      <c r="AF40" s="168" t="str">
        <f t="shared" ca="1" si="10"/>
        <v/>
      </c>
      <c r="AG40" s="168" t="str">
        <f t="shared" ca="1" si="10"/>
        <v/>
      </c>
      <c r="AH40" s="168" t="str">
        <f t="shared" ca="1" si="10"/>
        <v/>
      </c>
      <c r="AI40" s="168" t="str">
        <f t="shared" ca="1" si="10"/>
        <v/>
      </c>
    </row>
    <row r="41" spans="1:35" ht="15" x14ac:dyDescent="0.3">
      <c r="A41" s="189">
        <v>37</v>
      </c>
      <c r="B41" s="189">
        <f ca="1">OFFSET('Matriz de Riesgos'!$F$14,H41,0)</f>
        <v>0</v>
      </c>
      <c r="C41" s="189">
        <f ca="1">OFFSET('Matriz de Riesgos'!$G$8,H41,0)</f>
        <v>0</v>
      </c>
      <c r="D41" s="190">
        <f ca="1">OFFSET('Matriz de Riesgos'!$V$8,H41,0)</f>
        <v>0</v>
      </c>
      <c r="E41" s="190">
        <f ca="1">OFFSET('Matriz de Riesgos'!$W$8,H41,0)</f>
        <v>0</v>
      </c>
      <c r="F41" s="191">
        <f t="shared" ca="1" si="3"/>
        <v>0</v>
      </c>
      <c r="G41" s="168" t="str">
        <f t="shared" ca="1" si="4"/>
        <v>00</v>
      </c>
      <c r="H41" s="168">
        <f t="shared" si="6"/>
        <v>396</v>
      </c>
      <c r="J41" s="201">
        <v>37</v>
      </c>
      <c r="K41" s="168" t="str">
        <f t="shared" ca="1" si="11"/>
        <v/>
      </c>
      <c r="L41" s="168" t="str">
        <f t="shared" ca="1" si="11"/>
        <v/>
      </c>
      <c r="M41" s="168" t="str">
        <f t="shared" ca="1" si="11"/>
        <v/>
      </c>
      <c r="N41" s="168" t="str">
        <f t="shared" ca="1" si="11"/>
        <v/>
      </c>
      <c r="O41" s="168" t="str">
        <f t="shared" ca="1" si="11"/>
        <v/>
      </c>
      <c r="P41" s="168" t="str">
        <f t="shared" ca="1" si="11"/>
        <v/>
      </c>
      <c r="Q41" s="168" t="str">
        <f t="shared" ca="1" si="11"/>
        <v/>
      </c>
      <c r="R41" s="168" t="str">
        <f t="shared" ca="1" si="11"/>
        <v/>
      </c>
      <c r="S41" s="168" t="str">
        <f t="shared" ca="1" si="11"/>
        <v/>
      </c>
      <c r="T41" s="168" t="str">
        <f t="shared" ca="1" si="11"/>
        <v/>
      </c>
      <c r="U41" s="168" t="str">
        <f t="shared" ca="1" si="11"/>
        <v/>
      </c>
      <c r="V41" s="168" t="str">
        <f t="shared" ca="1" si="11"/>
        <v/>
      </c>
      <c r="W41" s="168" t="str">
        <f t="shared" ca="1" si="11"/>
        <v/>
      </c>
      <c r="X41" s="168" t="str">
        <f t="shared" ca="1" si="11"/>
        <v/>
      </c>
      <c r="Y41" s="168" t="str">
        <f t="shared" ca="1" si="11"/>
        <v/>
      </c>
      <c r="Z41" s="168" t="str">
        <f t="shared" ca="1" si="11"/>
        <v/>
      </c>
      <c r="AA41" s="168" t="str">
        <f t="shared" ca="1" si="10"/>
        <v/>
      </c>
      <c r="AB41" s="168" t="str">
        <f t="shared" ca="1" si="10"/>
        <v/>
      </c>
      <c r="AC41" s="168" t="str">
        <f t="shared" ca="1" si="10"/>
        <v/>
      </c>
      <c r="AD41" s="168" t="str">
        <f t="shared" ca="1" si="10"/>
        <v/>
      </c>
      <c r="AE41" s="168" t="str">
        <f t="shared" ca="1" si="10"/>
        <v/>
      </c>
      <c r="AF41" s="168" t="str">
        <f t="shared" ca="1" si="10"/>
        <v/>
      </c>
      <c r="AG41" s="168" t="str">
        <f t="shared" ca="1" si="10"/>
        <v/>
      </c>
      <c r="AH41" s="168" t="str">
        <f t="shared" ca="1" si="10"/>
        <v/>
      </c>
      <c r="AI41" s="168" t="str">
        <f t="shared" ca="1" si="10"/>
        <v/>
      </c>
    </row>
    <row r="42" spans="1:35" ht="15" x14ac:dyDescent="0.3">
      <c r="A42" s="189">
        <v>38</v>
      </c>
      <c r="B42" s="189">
        <f ca="1">OFFSET('Matriz de Riesgos'!$F$14,H42,0)</f>
        <v>0</v>
      </c>
      <c r="C42" s="189">
        <f ca="1">OFFSET('Matriz de Riesgos'!$G$8,H42,0)</f>
        <v>0</v>
      </c>
      <c r="D42" s="190">
        <f ca="1">OFFSET('Matriz de Riesgos'!$V$8,H42,0)</f>
        <v>0</v>
      </c>
      <c r="E42" s="190">
        <f ca="1">OFFSET('Matriz de Riesgos'!$W$8,H42,0)</f>
        <v>0</v>
      </c>
      <c r="F42" s="191">
        <f t="shared" ca="1" si="3"/>
        <v>0</v>
      </c>
      <c r="G42" s="168" t="str">
        <f t="shared" ca="1" si="4"/>
        <v>00</v>
      </c>
      <c r="H42" s="168">
        <f t="shared" si="6"/>
        <v>407</v>
      </c>
      <c r="J42" s="201">
        <v>38</v>
      </c>
      <c r="K42" s="168" t="str">
        <f t="shared" ca="1" si="11"/>
        <v/>
      </c>
      <c r="L42" s="168" t="str">
        <f t="shared" ca="1" si="11"/>
        <v/>
      </c>
      <c r="M42" s="168" t="str">
        <f t="shared" ca="1" si="11"/>
        <v/>
      </c>
      <c r="N42" s="168" t="str">
        <f t="shared" ca="1" si="11"/>
        <v/>
      </c>
      <c r="O42" s="168" t="str">
        <f t="shared" ca="1" si="11"/>
        <v/>
      </c>
      <c r="P42" s="168" t="str">
        <f t="shared" ca="1" si="11"/>
        <v/>
      </c>
      <c r="Q42" s="168" t="str">
        <f t="shared" ca="1" si="11"/>
        <v/>
      </c>
      <c r="R42" s="168" t="str">
        <f t="shared" ca="1" si="11"/>
        <v/>
      </c>
      <c r="S42" s="168" t="str">
        <f t="shared" ca="1" si="11"/>
        <v/>
      </c>
      <c r="T42" s="168" t="str">
        <f t="shared" ca="1" si="11"/>
        <v/>
      </c>
      <c r="U42" s="168" t="str">
        <f t="shared" ca="1" si="11"/>
        <v/>
      </c>
      <c r="V42" s="168" t="str">
        <f t="shared" ca="1" si="11"/>
        <v/>
      </c>
      <c r="W42" s="168" t="str">
        <f t="shared" ca="1" si="11"/>
        <v/>
      </c>
      <c r="X42" s="168" t="str">
        <f t="shared" ca="1" si="11"/>
        <v/>
      </c>
      <c r="Y42" s="168" t="str">
        <f t="shared" ca="1" si="11"/>
        <v/>
      </c>
      <c r="Z42" s="168" t="str">
        <f t="shared" ca="1" si="11"/>
        <v/>
      </c>
      <c r="AA42" s="168" t="str">
        <f t="shared" ca="1" si="10"/>
        <v/>
      </c>
      <c r="AB42" s="168" t="str">
        <f t="shared" ca="1" si="10"/>
        <v/>
      </c>
      <c r="AC42" s="168" t="str">
        <f t="shared" ca="1" si="10"/>
        <v/>
      </c>
      <c r="AD42" s="168" t="str">
        <f t="shared" ca="1" si="10"/>
        <v/>
      </c>
      <c r="AE42" s="168" t="str">
        <f t="shared" ca="1" si="10"/>
        <v/>
      </c>
      <c r="AF42" s="168" t="str">
        <f t="shared" ca="1" si="10"/>
        <v/>
      </c>
      <c r="AG42" s="168" t="str">
        <f t="shared" ca="1" si="10"/>
        <v/>
      </c>
      <c r="AH42" s="168" t="str">
        <f t="shared" ca="1" si="10"/>
        <v/>
      </c>
      <c r="AI42" s="168" t="str">
        <f t="shared" ca="1" si="10"/>
        <v/>
      </c>
    </row>
    <row r="43" spans="1:35" ht="15" x14ac:dyDescent="0.3">
      <c r="A43" s="189">
        <v>39</v>
      </c>
      <c r="B43" s="189">
        <f ca="1">OFFSET('Matriz de Riesgos'!$F$14,H43,0)</f>
        <v>0</v>
      </c>
      <c r="C43" s="189">
        <f ca="1">OFFSET('Matriz de Riesgos'!$G$8,H43,0)</f>
        <v>0</v>
      </c>
      <c r="D43" s="190">
        <f ca="1">OFFSET('Matriz de Riesgos'!$V$8,H43,0)</f>
        <v>0</v>
      </c>
      <c r="E43" s="190">
        <f ca="1">OFFSET('Matriz de Riesgos'!$W$8,H43,0)</f>
        <v>0</v>
      </c>
      <c r="F43" s="191">
        <f t="shared" ca="1" si="3"/>
        <v>0</v>
      </c>
      <c r="G43" s="168" t="str">
        <f t="shared" ca="1" si="4"/>
        <v>00</v>
      </c>
      <c r="H43" s="168">
        <f t="shared" si="6"/>
        <v>418</v>
      </c>
      <c r="J43" s="201">
        <v>39</v>
      </c>
      <c r="K43" s="168" t="str">
        <f t="shared" ca="1" si="11"/>
        <v/>
      </c>
      <c r="L43" s="168" t="str">
        <f t="shared" ca="1" si="11"/>
        <v/>
      </c>
      <c r="M43" s="168" t="str">
        <f t="shared" ca="1" si="11"/>
        <v/>
      </c>
      <c r="N43" s="168" t="str">
        <f t="shared" ca="1" si="11"/>
        <v/>
      </c>
      <c r="O43" s="168" t="str">
        <f t="shared" ca="1" si="11"/>
        <v/>
      </c>
      <c r="P43" s="168" t="str">
        <f t="shared" ca="1" si="11"/>
        <v/>
      </c>
      <c r="Q43" s="168" t="str">
        <f t="shared" ca="1" si="11"/>
        <v/>
      </c>
      <c r="R43" s="168" t="str">
        <f t="shared" ca="1" si="11"/>
        <v/>
      </c>
      <c r="S43" s="168" t="str">
        <f t="shared" ca="1" si="11"/>
        <v/>
      </c>
      <c r="T43" s="168" t="str">
        <f t="shared" ca="1" si="11"/>
        <v/>
      </c>
      <c r="U43" s="168" t="str">
        <f t="shared" ca="1" si="11"/>
        <v/>
      </c>
      <c r="V43" s="168" t="str">
        <f t="shared" ca="1" si="11"/>
        <v/>
      </c>
      <c r="W43" s="168" t="str">
        <f t="shared" ca="1" si="11"/>
        <v/>
      </c>
      <c r="X43" s="168" t="str">
        <f t="shared" ca="1" si="11"/>
        <v/>
      </c>
      <c r="Y43" s="168" t="str">
        <f t="shared" ca="1" si="11"/>
        <v/>
      </c>
      <c r="Z43" s="168" t="str">
        <f t="shared" ca="1" si="11"/>
        <v/>
      </c>
      <c r="AA43" s="168" t="str">
        <f t="shared" ca="1" si="10"/>
        <v/>
      </c>
      <c r="AB43" s="168" t="str">
        <f t="shared" ca="1" si="10"/>
        <v/>
      </c>
      <c r="AC43" s="168" t="str">
        <f t="shared" ca="1" si="10"/>
        <v/>
      </c>
      <c r="AD43" s="168" t="str">
        <f t="shared" ca="1" si="10"/>
        <v/>
      </c>
      <c r="AE43" s="168" t="str">
        <f t="shared" ca="1" si="10"/>
        <v/>
      </c>
      <c r="AF43" s="168" t="str">
        <f t="shared" ca="1" si="10"/>
        <v/>
      </c>
      <c r="AG43" s="168" t="str">
        <f t="shared" ca="1" si="10"/>
        <v/>
      </c>
      <c r="AH43" s="168" t="str">
        <f t="shared" ca="1" si="10"/>
        <v/>
      </c>
      <c r="AI43" s="168" t="str">
        <f t="shared" ca="1" si="10"/>
        <v/>
      </c>
    </row>
    <row r="44" spans="1:35" ht="15" x14ac:dyDescent="0.3">
      <c r="A44" s="189">
        <v>40</v>
      </c>
      <c r="B44" s="189">
        <f ca="1">OFFSET('Matriz de Riesgos'!$F$14,H44,0)</f>
        <v>0</v>
      </c>
      <c r="C44" s="189">
        <f ca="1">OFFSET('Matriz de Riesgos'!$G$8,H44,0)</f>
        <v>0</v>
      </c>
      <c r="D44" s="190">
        <f ca="1">OFFSET('Matriz de Riesgos'!$V$8,H44,0)</f>
        <v>0</v>
      </c>
      <c r="E44" s="190">
        <f ca="1">OFFSET('Matriz de Riesgos'!$W$8,H44,0)</f>
        <v>0</v>
      </c>
      <c r="F44" s="191">
        <f t="shared" ca="1" si="3"/>
        <v>0</v>
      </c>
      <c r="G44" s="168" t="str">
        <f t="shared" ca="1" si="4"/>
        <v>00</v>
      </c>
      <c r="H44" s="168">
        <f t="shared" si="6"/>
        <v>429</v>
      </c>
      <c r="J44" s="201">
        <v>40</v>
      </c>
      <c r="K44" s="168" t="str">
        <f t="shared" ca="1" si="11"/>
        <v/>
      </c>
      <c r="L44" s="168" t="str">
        <f t="shared" ca="1" si="11"/>
        <v/>
      </c>
      <c r="M44" s="168" t="str">
        <f t="shared" ca="1" si="11"/>
        <v/>
      </c>
      <c r="N44" s="168" t="str">
        <f t="shared" ca="1" si="11"/>
        <v/>
      </c>
      <c r="O44" s="168" t="str">
        <f t="shared" ca="1" si="11"/>
        <v/>
      </c>
      <c r="P44" s="168" t="str">
        <f t="shared" ca="1" si="11"/>
        <v/>
      </c>
      <c r="Q44" s="168" t="str">
        <f t="shared" ca="1" si="11"/>
        <v/>
      </c>
      <c r="R44" s="168" t="str">
        <f t="shared" ca="1" si="11"/>
        <v/>
      </c>
      <c r="S44" s="168" t="str">
        <f t="shared" ca="1" si="11"/>
        <v/>
      </c>
      <c r="T44" s="168" t="str">
        <f t="shared" ca="1" si="11"/>
        <v/>
      </c>
      <c r="U44" s="168" t="str">
        <f t="shared" ca="1" si="11"/>
        <v/>
      </c>
      <c r="V44" s="168" t="str">
        <f t="shared" ca="1" si="11"/>
        <v/>
      </c>
      <c r="W44" s="168" t="str">
        <f t="shared" ca="1" si="11"/>
        <v/>
      </c>
      <c r="X44" s="168" t="str">
        <f t="shared" ca="1" si="11"/>
        <v/>
      </c>
      <c r="Y44" s="168" t="str">
        <f t="shared" ca="1" si="11"/>
        <v/>
      </c>
      <c r="Z44" s="168" t="str">
        <f t="shared" ca="1" si="11"/>
        <v/>
      </c>
      <c r="AA44" s="168" t="str">
        <f t="shared" ca="1" si="10"/>
        <v/>
      </c>
      <c r="AB44" s="168" t="str">
        <f t="shared" ca="1" si="10"/>
        <v/>
      </c>
      <c r="AC44" s="168" t="str">
        <f t="shared" ca="1" si="10"/>
        <v/>
      </c>
      <c r="AD44" s="168" t="str">
        <f t="shared" ca="1" si="10"/>
        <v/>
      </c>
      <c r="AE44" s="168" t="str">
        <f t="shared" ca="1" si="10"/>
        <v/>
      </c>
      <c r="AF44" s="168" t="str">
        <f t="shared" ca="1" si="10"/>
        <v/>
      </c>
      <c r="AG44" s="168" t="str">
        <f t="shared" ca="1" si="10"/>
        <v/>
      </c>
      <c r="AH44" s="168" t="str">
        <f t="shared" ca="1" si="10"/>
        <v/>
      </c>
      <c r="AI44" s="168" t="str">
        <f t="shared" ca="1" si="10"/>
        <v/>
      </c>
    </row>
    <row r="45" spans="1:35" ht="15" x14ac:dyDescent="0.3">
      <c r="A45" s="189">
        <v>41</v>
      </c>
      <c r="B45" s="189">
        <f ca="1">OFFSET('Matriz de Riesgos'!$F$14,H45,0)</f>
        <v>0</v>
      </c>
      <c r="C45" s="189">
        <f ca="1">OFFSET('Matriz de Riesgos'!$G$8,H45,0)</f>
        <v>0</v>
      </c>
      <c r="D45" s="190">
        <f ca="1">OFFSET('Matriz de Riesgos'!$V$8,H45,0)</f>
        <v>0</v>
      </c>
      <c r="E45" s="190">
        <f ca="1">OFFSET('Matriz de Riesgos'!$W$8,H45,0)</f>
        <v>0</v>
      </c>
      <c r="F45" s="191">
        <f t="shared" ca="1" si="3"/>
        <v>0</v>
      </c>
      <c r="G45" s="168" t="str">
        <f t="shared" ca="1" si="4"/>
        <v>00</v>
      </c>
      <c r="H45" s="168">
        <f t="shared" si="6"/>
        <v>440</v>
      </c>
      <c r="J45" s="201">
        <v>41</v>
      </c>
      <c r="K45" s="168" t="str">
        <f t="shared" ca="1" si="11"/>
        <v/>
      </c>
      <c r="L45" s="168" t="str">
        <f t="shared" ca="1" si="11"/>
        <v/>
      </c>
      <c r="M45" s="168" t="str">
        <f t="shared" ca="1" si="11"/>
        <v/>
      </c>
      <c r="N45" s="168" t="str">
        <f t="shared" ca="1" si="11"/>
        <v/>
      </c>
      <c r="O45" s="168" t="str">
        <f t="shared" ca="1" si="11"/>
        <v/>
      </c>
      <c r="P45" s="168" t="str">
        <f t="shared" ca="1" si="11"/>
        <v/>
      </c>
      <c r="Q45" s="168" t="str">
        <f t="shared" ca="1" si="11"/>
        <v/>
      </c>
      <c r="R45" s="168" t="str">
        <f t="shared" ca="1" si="11"/>
        <v/>
      </c>
      <c r="S45" s="168" t="str">
        <f t="shared" ca="1" si="11"/>
        <v/>
      </c>
      <c r="T45" s="168" t="str">
        <f t="shared" ca="1" si="11"/>
        <v/>
      </c>
      <c r="U45" s="168" t="str">
        <f t="shared" ca="1" si="11"/>
        <v/>
      </c>
      <c r="V45" s="168" t="str">
        <f t="shared" ca="1" si="11"/>
        <v/>
      </c>
      <c r="W45" s="168" t="str">
        <f t="shared" ca="1" si="11"/>
        <v/>
      </c>
      <c r="X45" s="168" t="str">
        <f t="shared" ca="1" si="11"/>
        <v/>
      </c>
      <c r="Y45" s="168" t="str">
        <f t="shared" ca="1" si="11"/>
        <v/>
      </c>
      <c r="Z45" s="168" t="str">
        <f t="shared" ca="1" si="11"/>
        <v/>
      </c>
      <c r="AA45" s="168" t="str">
        <f t="shared" ca="1" si="10"/>
        <v/>
      </c>
      <c r="AB45" s="168" t="str">
        <f t="shared" ca="1" si="10"/>
        <v/>
      </c>
      <c r="AC45" s="168" t="str">
        <f t="shared" ca="1" si="10"/>
        <v/>
      </c>
      <c r="AD45" s="168" t="str">
        <f t="shared" ca="1" si="10"/>
        <v/>
      </c>
      <c r="AE45" s="168" t="str">
        <f t="shared" ca="1" si="10"/>
        <v/>
      </c>
      <c r="AF45" s="168" t="str">
        <f t="shared" ca="1" si="10"/>
        <v/>
      </c>
      <c r="AG45" s="168" t="str">
        <f t="shared" ca="1" si="10"/>
        <v/>
      </c>
      <c r="AH45" s="168" t="str">
        <f t="shared" ca="1" si="10"/>
        <v/>
      </c>
      <c r="AI45" s="168" t="str">
        <f t="shared" ca="1" si="10"/>
        <v/>
      </c>
    </row>
    <row r="46" spans="1:35" ht="15" x14ac:dyDescent="0.3">
      <c r="A46" s="189">
        <v>42</v>
      </c>
      <c r="B46" s="189">
        <f ca="1">OFFSET('Matriz de Riesgos'!$F$14,H46,0)</f>
        <v>0</v>
      </c>
      <c r="C46" s="189">
        <f ca="1">OFFSET('Matriz de Riesgos'!$G$8,H46,0)</f>
        <v>0</v>
      </c>
      <c r="D46" s="190">
        <f ca="1">OFFSET('Matriz de Riesgos'!$V$8,H46,0)</f>
        <v>0</v>
      </c>
      <c r="E46" s="190">
        <f ca="1">OFFSET('Matriz de Riesgos'!$W$8,H46,0)</f>
        <v>0</v>
      </c>
      <c r="F46" s="191">
        <f t="shared" ca="1" si="3"/>
        <v>0</v>
      </c>
      <c r="G46" s="168" t="str">
        <f t="shared" ca="1" si="4"/>
        <v>00</v>
      </c>
      <c r="H46" s="168">
        <f t="shared" si="6"/>
        <v>451</v>
      </c>
      <c r="J46" s="201">
        <v>42</v>
      </c>
      <c r="K46" s="168" t="str">
        <f t="shared" ca="1" si="11"/>
        <v/>
      </c>
      <c r="L46" s="168" t="str">
        <f t="shared" ca="1" si="11"/>
        <v/>
      </c>
      <c r="M46" s="168" t="str">
        <f t="shared" ca="1" si="11"/>
        <v/>
      </c>
      <c r="N46" s="168" t="str">
        <f t="shared" ca="1" si="11"/>
        <v/>
      </c>
      <c r="O46" s="168" t="str">
        <f t="shared" ca="1" si="11"/>
        <v/>
      </c>
      <c r="P46" s="168" t="str">
        <f t="shared" ca="1" si="11"/>
        <v/>
      </c>
      <c r="Q46" s="168" t="str">
        <f t="shared" ca="1" si="11"/>
        <v/>
      </c>
      <c r="R46" s="168" t="str">
        <f t="shared" ca="1" si="11"/>
        <v/>
      </c>
      <c r="S46" s="168" t="str">
        <f t="shared" ca="1" si="11"/>
        <v/>
      </c>
      <c r="T46" s="168" t="str">
        <f t="shared" ca="1" si="11"/>
        <v/>
      </c>
      <c r="U46" s="168" t="str">
        <f t="shared" ca="1" si="11"/>
        <v/>
      </c>
      <c r="V46" s="168" t="str">
        <f t="shared" ca="1" si="11"/>
        <v/>
      </c>
      <c r="W46" s="168" t="str">
        <f t="shared" ca="1" si="11"/>
        <v/>
      </c>
      <c r="X46" s="168" t="str">
        <f t="shared" ca="1" si="11"/>
        <v/>
      </c>
      <c r="Y46" s="168" t="str">
        <f t="shared" ca="1" si="11"/>
        <v/>
      </c>
      <c r="Z46" s="168" t="str">
        <f t="shared" ca="1" si="11"/>
        <v/>
      </c>
      <c r="AA46" s="168" t="str">
        <f t="shared" ca="1" si="10"/>
        <v/>
      </c>
      <c r="AB46" s="168" t="str">
        <f t="shared" ca="1" si="10"/>
        <v/>
      </c>
      <c r="AC46" s="168" t="str">
        <f t="shared" ca="1" si="10"/>
        <v/>
      </c>
      <c r="AD46" s="168" t="str">
        <f t="shared" ca="1" si="10"/>
        <v/>
      </c>
      <c r="AE46" s="168" t="str">
        <f t="shared" ca="1" si="10"/>
        <v/>
      </c>
      <c r="AF46" s="168" t="str">
        <f t="shared" ca="1" si="10"/>
        <v/>
      </c>
      <c r="AG46" s="168" t="str">
        <f t="shared" ca="1" si="10"/>
        <v/>
      </c>
      <c r="AH46" s="168" t="str">
        <f t="shared" ca="1" si="10"/>
        <v/>
      </c>
      <c r="AI46" s="168" t="str">
        <f t="shared" ca="1" si="10"/>
        <v/>
      </c>
    </row>
    <row r="47" spans="1:35" ht="15" x14ac:dyDescent="0.3">
      <c r="A47" s="189">
        <v>43</v>
      </c>
      <c r="B47" s="189">
        <f ca="1">OFFSET('Matriz de Riesgos'!$F$14,H47,0)</f>
        <v>0</v>
      </c>
      <c r="C47" s="189">
        <f ca="1">OFFSET('Matriz de Riesgos'!$G$8,H47,0)</f>
        <v>0</v>
      </c>
      <c r="D47" s="190">
        <f ca="1">OFFSET('Matriz de Riesgos'!$V$8,H47,0)</f>
        <v>0</v>
      </c>
      <c r="E47" s="190">
        <f ca="1">OFFSET('Matriz de Riesgos'!$W$8,H47,0)</f>
        <v>0</v>
      </c>
      <c r="F47" s="191">
        <f t="shared" ca="1" si="3"/>
        <v>0</v>
      </c>
      <c r="G47" s="168" t="str">
        <f t="shared" ca="1" si="4"/>
        <v>00</v>
      </c>
      <c r="H47" s="168">
        <f t="shared" si="6"/>
        <v>462</v>
      </c>
      <c r="J47" s="201">
        <v>43</v>
      </c>
      <c r="K47" s="168" t="str">
        <f t="shared" ca="1" si="11"/>
        <v/>
      </c>
      <c r="L47" s="168" t="str">
        <f t="shared" ca="1" si="11"/>
        <v/>
      </c>
      <c r="M47" s="168" t="str">
        <f t="shared" ca="1" si="11"/>
        <v/>
      </c>
      <c r="N47" s="168" t="str">
        <f t="shared" ca="1" si="11"/>
        <v/>
      </c>
      <c r="O47" s="168" t="str">
        <f t="shared" ca="1" si="11"/>
        <v/>
      </c>
      <c r="P47" s="168" t="str">
        <f t="shared" ca="1" si="11"/>
        <v/>
      </c>
      <c r="Q47" s="168" t="str">
        <f t="shared" ca="1" si="11"/>
        <v/>
      </c>
      <c r="R47" s="168" t="str">
        <f t="shared" ca="1" si="11"/>
        <v/>
      </c>
      <c r="S47" s="168" t="str">
        <f t="shared" ca="1" si="11"/>
        <v/>
      </c>
      <c r="T47" s="168" t="str">
        <f t="shared" ca="1" si="11"/>
        <v/>
      </c>
      <c r="U47" s="168" t="str">
        <f t="shared" ca="1" si="11"/>
        <v/>
      </c>
      <c r="V47" s="168" t="str">
        <f t="shared" ca="1" si="11"/>
        <v/>
      </c>
      <c r="W47" s="168" t="str">
        <f t="shared" ca="1" si="11"/>
        <v/>
      </c>
      <c r="X47" s="168" t="str">
        <f t="shared" ca="1" si="11"/>
        <v/>
      </c>
      <c r="Y47" s="168" t="str">
        <f t="shared" ca="1" si="11"/>
        <v/>
      </c>
      <c r="Z47" s="168" t="str">
        <f t="shared" ca="1" si="11"/>
        <v/>
      </c>
      <c r="AA47" s="168" t="str">
        <f t="shared" ca="1" si="10"/>
        <v/>
      </c>
      <c r="AB47" s="168" t="str">
        <f t="shared" ca="1" si="10"/>
        <v/>
      </c>
      <c r="AC47" s="168" t="str">
        <f t="shared" ca="1" si="10"/>
        <v/>
      </c>
      <c r="AD47" s="168" t="str">
        <f t="shared" ca="1" si="10"/>
        <v/>
      </c>
      <c r="AE47" s="168" t="str">
        <f t="shared" ca="1" si="10"/>
        <v/>
      </c>
      <c r="AF47" s="168" t="str">
        <f t="shared" ca="1" si="10"/>
        <v/>
      </c>
      <c r="AG47" s="168" t="str">
        <f t="shared" ca="1" si="10"/>
        <v/>
      </c>
      <c r="AH47" s="168" t="str">
        <f t="shared" ca="1" si="10"/>
        <v/>
      </c>
      <c r="AI47" s="168" t="str">
        <f t="shared" ca="1" si="10"/>
        <v/>
      </c>
    </row>
    <row r="48" spans="1:35" ht="15" x14ac:dyDescent="0.3">
      <c r="A48" s="189">
        <v>44</v>
      </c>
      <c r="B48" s="189">
        <f ca="1">OFFSET('Matriz de Riesgos'!$F$14,H48,0)</f>
        <v>0</v>
      </c>
      <c r="C48" s="189">
        <f ca="1">OFFSET('Matriz de Riesgos'!$G$8,H48,0)</f>
        <v>0</v>
      </c>
      <c r="D48" s="190">
        <f ca="1">OFFSET('Matriz de Riesgos'!$V$8,H48,0)</f>
        <v>0</v>
      </c>
      <c r="E48" s="190">
        <f ca="1">OFFSET('Matriz de Riesgos'!$W$8,H48,0)</f>
        <v>0</v>
      </c>
      <c r="F48" s="191">
        <f t="shared" ca="1" si="3"/>
        <v>0</v>
      </c>
      <c r="G48" s="168" t="str">
        <f t="shared" ca="1" si="4"/>
        <v>00</v>
      </c>
      <c r="H48" s="168">
        <f t="shared" si="6"/>
        <v>473</v>
      </c>
      <c r="J48" s="201">
        <v>44</v>
      </c>
      <c r="K48" s="168" t="str">
        <f t="shared" ca="1" si="11"/>
        <v/>
      </c>
      <c r="L48" s="168" t="str">
        <f t="shared" ca="1" si="11"/>
        <v/>
      </c>
      <c r="M48" s="168" t="str">
        <f t="shared" ca="1" si="11"/>
        <v/>
      </c>
      <c r="N48" s="168" t="str">
        <f t="shared" ca="1" si="11"/>
        <v/>
      </c>
      <c r="O48" s="168" t="str">
        <f t="shared" ca="1" si="11"/>
        <v/>
      </c>
      <c r="P48" s="168" t="str">
        <f t="shared" ca="1" si="11"/>
        <v/>
      </c>
      <c r="Q48" s="168" t="str">
        <f t="shared" ca="1" si="11"/>
        <v/>
      </c>
      <c r="R48" s="168" t="str">
        <f t="shared" ca="1" si="11"/>
        <v/>
      </c>
      <c r="S48" s="168" t="str">
        <f t="shared" ca="1" si="11"/>
        <v/>
      </c>
      <c r="T48" s="168" t="str">
        <f t="shared" ca="1" si="11"/>
        <v/>
      </c>
      <c r="U48" s="168" t="str">
        <f t="shared" ca="1" si="11"/>
        <v/>
      </c>
      <c r="V48" s="168" t="str">
        <f t="shared" ca="1" si="11"/>
        <v/>
      </c>
      <c r="W48" s="168" t="str">
        <f t="shared" ca="1" si="11"/>
        <v/>
      </c>
      <c r="X48" s="168" t="str">
        <f t="shared" ca="1" si="11"/>
        <v/>
      </c>
      <c r="Y48" s="168" t="str">
        <f t="shared" ca="1" si="11"/>
        <v/>
      </c>
      <c r="Z48" s="168" t="str">
        <f t="shared" ca="1" si="11"/>
        <v/>
      </c>
      <c r="AA48" s="168" t="str">
        <f t="shared" ca="1" si="10"/>
        <v/>
      </c>
      <c r="AB48" s="168" t="str">
        <f t="shared" ca="1" si="10"/>
        <v/>
      </c>
      <c r="AC48" s="168" t="str">
        <f t="shared" ca="1" si="10"/>
        <v/>
      </c>
      <c r="AD48" s="168" t="str">
        <f t="shared" ca="1" si="10"/>
        <v/>
      </c>
      <c r="AE48" s="168" t="str">
        <f t="shared" ca="1" si="10"/>
        <v/>
      </c>
      <c r="AF48" s="168" t="str">
        <f t="shared" ca="1" si="10"/>
        <v/>
      </c>
      <c r="AG48" s="168" t="str">
        <f t="shared" ca="1" si="10"/>
        <v/>
      </c>
      <c r="AH48" s="168" t="str">
        <f t="shared" ca="1" si="10"/>
        <v/>
      </c>
      <c r="AI48" s="168" t="str">
        <f t="shared" ca="1" si="10"/>
        <v/>
      </c>
    </row>
    <row r="49" spans="1:36" ht="15" x14ac:dyDescent="0.3">
      <c r="A49" s="189">
        <v>45</v>
      </c>
      <c r="B49" s="189">
        <f ca="1">OFFSET('Matriz de Riesgos'!$F$14,H49,0)</f>
        <v>0</v>
      </c>
      <c r="C49" s="189">
        <f ca="1">OFFSET('Matriz de Riesgos'!$G$8,H49,0)</f>
        <v>0</v>
      </c>
      <c r="D49" s="190">
        <f ca="1">OFFSET('Matriz de Riesgos'!$V$8,H49,0)</f>
        <v>0</v>
      </c>
      <c r="E49" s="190">
        <f ca="1">OFFSET('Matriz de Riesgos'!$W$8,H49,0)</f>
        <v>0</v>
      </c>
      <c r="F49" s="191">
        <f t="shared" ca="1" si="3"/>
        <v>0</v>
      </c>
      <c r="G49" s="168" t="str">
        <f t="shared" ca="1" si="4"/>
        <v>00</v>
      </c>
      <c r="H49" s="168">
        <f t="shared" si="6"/>
        <v>484</v>
      </c>
      <c r="J49" s="201">
        <v>45</v>
      </c>
      <c r="K49" s="168" t="str">
        <f t="shared" ca="1" si="11"/>
        <v/>
      </c>
      <c r="L49" s="168" t="str">
        <f t="shared" ca="1" si="11"/>
        <v/>
      </c>
      <c r="M49" s="168" t="str">
        <f t="shared" ca="1" si="11"/>
        <v/>
      </c>
      <c r="N49" s="168" t="str">
        <f t="shared" ca="1" si="11"/>
        <v/>
      </c>
      <c r="O49" s="168" t="str">
        <f t="shared" ca="1" si="11"/>
        <v/>
      </c>
      <c r="P49" s="168" t="str">
        <f t="shared" ca="1" si="11"/>
        <v/>
      </c>
      <c r="Q49" s="168" t="str">
        <f t="shared" ca="1" si="11"/>
        <v/>
      </c>
      <c r="R49" s="168" t="str">
        <f t="shared" ca="1" si="11"/>
        <v/>
      </c>
      <c r="S49" s="168" t="str">
        <f t="shared" ca="1" si="11"/>
        <v/>
      </c>
      <c r="T49" s="168" t="str">
        <f t="shared" ca="1" si="11"/>
        <v/>
      </c>
      <c r="U49" s="168" t="str">
        <f t="shared" ca="1" si="11"/>
        <v/>
      </c>
      <c r="V49" s="168" t="str">
        <f t="shared" ca="1" si="11"/>
        <v/>
      </c>
      <c r="W49" s="168" t="str">
        <f t="shared" ca="1" si="11"/>
        <v/>
      </c>
      <c r="X49" s="168" t="str">
        <f t="shared" ca="1" si="11"/>
        <v/>
      </c>
      <c r="Y49" s="168" t="str">
        <f t="shared" ca="1" si="11"/>
        <v/>
      </c>
      <c r="Z49" s="168" t="str">
        <f t="shared" ca="1" si="11"/>
        <v/>
      </c>
      <c r="AA49" s="168" t="str">
        <f t="shared" ca="1" si="10"/>
        <v/>
      </c>
      <c r="AB49" s="168" t="str">
        <f t="shared" ca="1" si="10"/>
        <v/>
      </c>
      <c r="AC49" s="168" t="str">
        <f t="shared" ca="1" si="10"/>
        <v/>
      </c>
      <c r="AD49" s="168" t="str">
        <f t="shared" ca="1" si="10"/>
        <v/>
      </c>
      <c r="AE49" s="168" t="str">
        <f t="shared" ca="1" si="10"/>
        <v/>
      </c>
      <c r="AF49" s="168" t="str">
        <f t="shared" ca="1" si="10"/>
        <v/>
      </c>
      <c r="AG49" s="168" t="str">
        <f t="shared" ca="1" si="10"/>
        <v/>
      </c>
      <c r="AH49" s="168" t="str">
        <f t="shared" ca="1" si="10"/>
        <v/>
      </c>
      <c r="AI49" s="168" t="str">
        <f t="shared" ca="1" si="10"/>
        <v/>
      </c>
    </row>
    <row r="50" spans="1:36" ht="15" x14ac:dyDescent="0.3">
      <c r="A50" s="189">
        <v>46</v>
      </c>
      <c r="B50" s="189">
        <f ca="1">OFFSET('Matriz de Riesgos'!$F$14,H50,0)</f>
        <v>0</v>
      </c>
      <c r="C50" s="189">
        <f ca="1">OFFSET('Matriz de Riesgos'!$G$8,H50,0)</f>
        <v>0</v>
      </c>
      <c r="D50" s="190">
        <f ca="1">OFFSET('Matriz de Riesgos'!$V$8,H50,0)</f>
        <v>0</v>
      </c>
      <c r="E50" s="190">
        <f ca="1">OFFSET('Matriz de Riesgos'!$W$8,H50,0)</f>
        <v>0</v>
      </c>
      <c r="F50" s="191">
        <f t="shared" ca="1" si="3"/>
        <v>0</v>
      </c>
      <c r="G50" s="168" t="str">
        <f t="shared" ca="1" si="4"/>
        <v>00</v>
      </c>
      <c r="H50" s="168">
        <f t="shared" si="6"/>
        <v>495</v>
      </c>
      <c r="J50" s="201">
        <v>46</v>
      </c>
      <c r="K50" s="168" t="str">
        <f t="shared" ca="1" si="11"/>
        <v/>
      </c>
      <c r="L50" s="168" t="str">
        <f t="shared" ca="1" si="11"/>
        <v/>
      </c>
      <c r="M50" s="168" t="str">
        <f t="shared" ca="1" si="11"/>
        <v/>
      </c>
      <c r="N50" s="168" t="str">
        <f t="shared" ca="1" si="11"/>
        <v/>
      </c>
      <c r="O50" s="168" t="str">
        <f t="shared" ca="1" si="11"/>
        <v/>
      </c>
      <c r="P50" s="168" t="str">
        <f t="shared" ca="1" si="11"/>
        <v/>
      </c>
      <c r="Q50" s="168" t="str">
        <f t="shared" ca="1" si="11"/>
        <v/>
      </c>
      <c r="R50" s="168" t="str">
        <f t="shared" ca="1" si="11"/>
        <v/>
      </c>
      <c r="S50" s="168" t="str">
        <f t="shared" ca="1" si="11"/>
        <v/>
      </c>
      <c r="T50" s="168" t="str">
        <f t="shared" ca="1" si="11"/>
        <v/>
      </c>
      <c r="U50" s="168" t="str">
        <f t="shared" ca="1" si="11"/>
        <v/>
      </c>
      <c r="V50" s="168" t="str">
        <f t="shared" ca="1" si="11"/>
        <v/>
      </c>
      <c r="W50" s="168" t="str">
        <f t="shared" ca="1" si="11"/>
        <v/>
      </c>
      <c r="X50" s="168" t="str">
        <f t="shared" ca="1" si="11"/>
        <v/>
      </c>
      <c r="Y50" s="168" t="str">
        <f t="shared" ca="1" si="11"/>
        <v/>
      </c>
      <c r="Z50" s="168" t="str">
        <f t="shared" ca="1" si="11"/>
        <v/>
      </c>
      <c r="AA50" s="168" t="str">
        <f t="shared" ca="1" si="10"/>
        <v/>
      </c>
      <c r="AB50" s="168" t="str">
        <f t="shared" ca="1" si="10"/>
        <v/>
      </c>
      <c r="AC50" s="168" t="str">
        <f t="shared" ca="1" si="10"/>
        <v/>
      </c>
      <c r="AD50" s="168" t="str">
        <f t="shared" ca="1" si="10"/>
        <v/>
      </c>
      <c r="AE50" s="168" t="str">
        <f t="shared" ca="1" si="10"/>
        <v/>
      </c>
      <c r="AF50" s="168" t="str">
        <f t="shared" ca="1" si="10"/>
        <v/>
      </c>
      <c r="AG50" s="168" t="str">
        <f t="shared" ca="1" si="10"/>
        <v/>
      </c>
      <c r="AH50" s="168" t="str">
        <f t="shared" ca="1" si="10"/>
        <v/>
      </c>
      <c r="AI50" s="168" t="str">
        <f t="shared" ca="1" si="10"/>
        <v/>
      </c>
    </row>
    <row r="51" spans="1:36" ht="15" x14ac:dyDescent="0.3">
      <c r="A51" s="189">
        <v>47</v>
      </c>
      <c r="B51" s="189">
        <f ca="1">OFFSET('Matriz de Riesgos'!$F$14,H51,0)</f>
        <v>0</v>
      </c>
      <c r="C51" s="189">
        <f ca="1">OFFSET('Matriz de Riesgos'!$G$8,H51,0)</f>
        <v>0</v>
      </c>
      <c r="D51" s="190">
        <f ca="1">OFFSET('Matriz de Riesgos'!$V$8,H51,0)</f>
        <v>0</v>
      </c>
      <c r="E51" s="190">
        <f ca="1">OFFSET('Matriz de Riesgos'!$W$8,H51,0)</f>
        <v>0</v>
      </c>
      <c r="F51" s="191">
        <f t="shared" ca="1" si="3"/>
        <v>0</v>
      </c>
      <c r="G51" s="168" t="str">
        <f t="shared" ca="1" si="4"/>
        <v>00</v>
      </c>
      <c r="H51" s="168">
        <f t="shared" si="6"/>
        <v>506</v>
      </c>
      <c r="J51" s="201">
        <v>47</v>
      </c>
      <c r="K51" s="168" t="str">
        <f t="shared" ca="1" si="11"/>
        <v/>
      </c>
      <c r="L51" s="168" t="str">
        <f t="shared" ca="1" si="11"/>
        <v/>
      </c>
      <c r="M51" s="168" t="str">
        <f t="shared" ca="1" si="11"/>
        <v/>
      </c>
      <c r="N51" s="168" t="str">
        <f t="shared" ca="1" si="11"/>
        <v/>
      </c>
      <c r="O51" s="168" t="str">
        <f t="shared" ca="1" si="11"/>
        <v/>
      </c>
      <c r="P51" s="168" t="str">
        <f t="shared" ca="1" si="11"/>
        <v/>
      </c>
      <c r="Q51" s="168" t="str">
        <f t="shared" ca="1" si="11"/>
        <v/>
      </c>
      <c r="R51" s="168" t="str">
        <f t="shared" ca="1" si="11"/>
        <v/>
      </c>
      <c r="S51" s="168" t="str">
        <f t="shared" ca="1" si="11"/>
        <v/>
      </c>
      <c r="T51" s="168" t="str">
        <f t="shared" ca="1" si="11"/>
        <v/>
      </c>
      <c r="U51" s="168" t="str">
        <f t="shared" ca="1" si="11"/>
        <v/>
      </c>
      <c r="V51" s="168" t="str">
        <f t="shared" ca="1" si="11"/>
        <v/>
      </c>
      <c r="W51" s="168" t="str">
        <f t="shared" ca="1" si="11"/>
        <v/>
      </c>
      <c r="X51" s="168" t="str">
        <f t="shared" ca="1" si="11"/>
        <v/>
      </c>
      <c r="Y51" s="168" t="str">
        <f t="shared" ca="1" si="11"/>
        <v/>
      </c>
      <c r="Z51" s="168" t="str">
        <f t="shared" ca="1" si="11"/>
        <v/>
      </c>
      <c r="AA51" s="168" t="str">
        <f t="shared" ca="1" si="10"/>
        <v/>
      </c>
      <c r="AB51" s="168" t="str">
        <f t="shared" ca="1" si="10"/>
        <v/>
      </c>
      <c r="AC51" s="168" t="str">
        <f t="shared" ca="1" si="10"/>
        <v/>
      </c>
      <c r="AD51" s="168" t="str">
        <f t="shared" ca="1" si="10"/>
        <v/>
      </c>
      <c r="AE51" s="168" t="str">
        <f t="shared" ca="1" si="10"/>
        <v/>
      </c>
      <c r="AF51" s="168" t="str">
        <f t="shared" ca="1" si="10"/>
        <v/>
      </c>
      <c r="AG51" s="168" t="str">
        <f t="shared" ca="1" si="10"/>
        <v/>
      </c>
      <c r="AH51" s="168" t="str">
        <f t="shared" ca="1" si="10"/>
        <v/>
      </c>
      <c r="AI51" s="168" t="str">
        <f t="shared" ca="1" si="10"/>
        <v/>
      </c>
    </row>
    <row r="52" spans="1:36" ht="15" x14ac:dyDescent="0.3">
      <c r="A52" s="189">
        <v>48</v>
      </c>
      <c r="B52" s="189">
        <f ca="1">OFFSET('Matriz de Riesgos'!$F$14,H52,0)</f>
        <v>0</v>
      </c>
      <c r="C52" s="189">
        <f ca="1">OFFSET('Matriz de Riesgos'!$G$8,H52,0)</f>
        <v>0</v>
      </c>
      <c r="D52" s="190">
        <f ca="1">OFFSET('Matriz de Riesgos'!$V$8,H52,0)</f>
        <v>0</v>
      </c>
      <c r="E52" s="190">
        <f ca="1">OFFSET('Matriz de Riesgos'!$W$8,H52,0)</f>
        <v>0</v>
      </c>
      <c r="F52" s="191">
        <f t="shared" ca="1" si="3"/>
        <v>0</v>
      </c>
      <c r="G52" s="168" t="str">
        <f t="shared" ca="1" si="4"/>
        <v>00</v>
      </c>
      <c r="H52" s="168">
        <f t="shared" si="6"/>
        <v>517</v>
      </c>
      <c r="J52" s="201">
        <v>48</v>
      </c>
      <c r="K52" s="168" t="str">
        <f t="shared" ca="1" si="11"/>
        <v/>
      </c>
      <c r="L52" s="168" t="str">
        <f t="shared" ca="1" si="11"/>
        <v/>
      </c>
      <c r="M52" s="168" t="str">
        <f t="shared" ca="1" si="11"/>
        <v/>
      </c>
      <c r="N52" s="168" t="str">
        <f t="shared" ca="1" si="11"/>
        <v/>
      </c>
      <c r="O52" s="168" t="str">
        <f t="shared" ca="1" si="11"/>
        <v/>
      </c>
      <c r="P52" s="168" t="str">
        <f t="shared" ca="1" si="11"/>
        <v/>
      </c>
      <c r="Q52" s="168" t="str">
        <f t="shared" ca="1" si="11"/>
        <v/>
      </c>
      <c r="R52" s="168" t="str">
        <f t="shared" ca="1" si="11"/>
        <v/>
      </c>
      <c r="S52" s="168" t="str">
        <f t="shared" ca="1" si="11"/>
        <v/>
      </c>
      <c r="T52" s="168" t="str">
        <f t="shared" ca="1" si="11"/>
        <v/>
      </c>
      <c r="U52" s="168" t="str">
        <f t="shared" ca="1" si="11"/>
        <v/>
      </c>
      <c r="V52" s="168" t="str">
        <f t="shared" ca="1" si="11"/>
        <v/>
      </c>
      <c r="W52" s="168" t="str">
        <f t="shared" ca="1" si="11"/>
        <v/>
      </c>
      <c r="X52" s="168" t="str">
        <f t="shared" ca="1" si="11"/>
        <v/>
      </c>
      <c r="Y52" s="168" t="str">
        <f t="shared" ca="1" si="11"/>
        <v/>
      </c>
      <c r="Z52" s="168" t="str">
        <f t="shared" ca="1" si="11"/>
        <v/>
      </c>
      <c r="AA52" s="168" t="str">
        <f t="shared" ca="1" si="10"/>
        <v/>
      </c>
      <c r="AB52" s="168" t="str">
        <f t="shared" ca="1" si="10"/>
        <v/>
      </c>
      <c r="AC52" s="168" t="str">
        <f t="shared" ca="1" si="10"/>
        <v/>
      </c>
      <c r="AD52" s="168" t="str">
        <f t="shared" ca="1" si="10"/>
        <v/>
      </c>
      <c r="AE52" s="168" t="str">
        <f t="shared" ca="1" si="10"/>
        <v/>
      </c>
      <c r="AF52" s="168" t="str">
        <f t="shared" ca="1" si="10"/>
        <v/>
      </c>
      <c r="AG52" s="168" t="str">
        <f t="shared" ca="1" si="10"/>
        <v/>
      </c>
      <c r="AH52" s="168" t="str">
        <f t="shared" ca="1" si="10"/>
        <v/>
      </c>
      <c r="AI52" s="168" t="str">
        <f t="shared" ca="1" si="10"/>
        <v/>
      </c>
    </row>
    <row r="53" spans="1:36" ht="15" x14ac:dyDescent="0.3">
      <c r="A53" s="189">
        <v>49</v>
      </c>
      <c r="B53" s="189">
        <f ca="1">OFFSET('Matriz de Riesgos'!$F$14,H53,0)</f>
        <v>0</v>
      </c>
      <c r="C53" s="189">
        <f ca="1">OFFSET('Matriz de Riesgos'!$G$8,H53,0)</f>
        <v>0</v>
      </c>
      <c r="D53" s="190">
        <f ca="1">OFFSET('Matriz de Riesgos'!$V$8,H53,0)</f>
        <v>0</v>
      </c>
      <c r="E53" s="190">
        <f ca="1">OFFSET('Matriz de Riesgos'!$W$8,H53,0)</f>
        <v>0</v>
      </c>
      <c r="F53" s="191">
        <f t="shared" ca="1" si="3"/>
        <v>0</v>
      </c>
      <c r="G53" s="168" t="str">
        <f t="shared" ca="1" si="4"/>
        <v>00</v>
      </c>
      <c r="H53" s="168">
        <f t="shared" si="6"/>
        <v>528</v>
      </c>
      <c r="J53" s="201">
        <v>49</v>
      </c>
      <c r="K53" s="168" t="str">
        <f t="shared" ca="1" si="11"/>
        <v/>
      </c>
      <c r="L53" s="168" t="str">
        <f t="shared" ca="1" si="11"/>
        <v/>
      </c>
      <c r="M53" s="168" t="str">
        <f t="shared" ca="1" si="11"/>
        <v/>
      </c>
      <c r="N53" s="168" t="str">
        <f t="shared" ca="1" si="11"/>
        <v/>
      </c>
      <c r="O53" s="168" t="str">
        <f t="shared" ca="1" si="11"/>
        <v/>
      </c>
      <c r="P53" s="168" t="str">
        <f t="shared" ca="1" si="11"/>
        <v/>
      </c>
      <c r="Q53" s="168" t="str">
        <f t="shared" ca="1" si="11"/>
        <v/>
      </c>
      <c r="R53" s="168" t="str">
        <f t="shared" ca="1" si="11"/>
        <v/>
      </c>
      <c r="S53" s="168" t="str">
        <f t="shared" ca="1" si="11"/>
        <v/>
      </c>
      <c r="T53" s="168" t="str">
        <f t="shared" ca="1" si="11"/>
        <v/>
      </c>
      <c r="U53" s="168" t="str">
        <f t="shared" ca="1" si="11"/>
        <v/>
      </c>
      <c r="V53" s="168" t="str">
        <f t="shared" ca="1" si="11"/>
        <v/>
      </c>
      <c r="W53" s="168" t="str">
        <f t="shared" ca="1" si="11"/>
        <v/>
      </c>
      <c r="X53" s="168" t="str">
        <f t="shared" ca="1" si="11"/>
        <v/>
      </c>
      <c r="Y53" s="168" t="str">
        <f t="shared" ca="1" si="11"/>
        <v/>
      </c>
      <c r="Z53" s="168" t="str">
        <f t="shared" ref="Z53:AI53" ca="1" si="12">IF($G53=Z$4,$B53&amp;";","")</f>
        <v/>
      </c>
      <c r="AA53" s="168" t="str">
        <f t="shared" ca="1" si="12"/>
        <v/>
      </c>
      <c r="AB53" s="168" t="str">
        <f t="shared" ca="1" si="12"/>
        <v/>
      </c>
      <c r="AC53" s="168" t="str">
        <f t="shared" ca="1" si="12"/>
        <v/>
      </c>
      <c r="AD53" s="168" t="str">
        <f t="shared" ca="1" si="12"/>
        <v/>
      </c>
      <c r="AE53" s="168" t="str">
        <f t="shared" ca="1" si="12"/>
        <v/>
      </c>
      <c r="AF53" s="168" t="str">
        <f t="shared" ca="1" si="12"/>
        <v/>
      </c>
      <c r="AG53" s="168" t="str">
        <f t="shared" ca="1" si="12"/>
        <v/>
      </c>
      <c r="AH53" s="168" t="str">
        <f t="shared" ca="1" si="12"/>
        <v/>
      </c>
      <c r="AI53" s="168" t="str">
        <f t="shared" ca="1" si="12"/>
        <v/>
      </c>
    </row>
    <row r="54" spans="1:36" x14ac:dyDescent="0.3">
      <c r="A54" s="189">
        <v>50</v>
      </c>
      <c r="B54" s="189">
        <f ca="1">OFFSET('Matriz de Riesgos'!$F$14,H54,0)</f>
        <v>0</v>
      </c>
      <c r="C54" s="189">
        <f ca="1">OFFSET('Matriz de Riesgos'!$G$8,H54,0)</f>
        <v>0</v>
      </c>
      <c r="D54" s="190">
        <f ca="1">OFFSET('Matriz de Riesgos'!$V$8,H54,0)</f>
        <v>0</v>
      </c>
      <c r="E54" s="190">
        <f ca="1">OFFSET('Matriz de Riesgos'!$W$8,H54,0)</f>
        <v>0</v>
      </c>
      <c r="F54" s="191">
        <f t="shared" ca="1" si="3"/>
        <v>0</v>
      </c>
      <c r="G54" s="168" t="str">
        <f t="shared" ca="1" si="4"/>
        <v>00</v>
      </c>
      <c r="H54" s="168">
        <f t="shared" si="6"/>
        <v>539</v>
      </c>
      <c r="I54" s="71"/>
      <c r="J54" s="201">
        <v>50</v>
      </c>
      <c r="K54" s="168" t="str">
        <f t="shared" ref="K54:AI54" ca="1" si="13">IF($G54=K$4,$B54&amp;";","")</f>
        <v/>
      </c>
      <c r="L54" s="168" t="str">
        <f t="shared" ca="1" si="13"/>
        <v/>
      </c>
      <c r="M54" s="168" t="str">
        <f t="shared" ca="1" si="13"/>
        <v/>
      </c>
      <c r="N54" s="168" t="str">
        <f t="shared" ca="1" si="13"/>
        <v/>
      </c>
      <c r="O54" s="168" t="str">
        <f t="shared" ca="1" si="13"/>
        <v/>
      </c>
      <c r="P54" s="168" t="str">
        <f t="shared" ca="1" si="13"/>
        <v/>
      </c>
      <c r="Q54" s="168" t="str">
        <f t="shared" ca="1" si="13"/>
        <v/>
      </c>
      <c r="R54" s="168" t="str">
        <f t="shared" ca="1" si="13"/>
        <v/>
      </c>
      <c r="S54" s="168" t="str">
        <f t="shared" ca="1" si="13"/>
        <v/>
      </c>
      <c r="T54" s="168" t="str">
        <f t="shared" ca="1" si="13"/>
        <v/>
      </c>
      <c r="U54" s="168" t="str">
        <f t="shared" ca="1" si="13"/>
        <v/>
      </c>
      <c r="V54" s="168" t="str">
        <f t="shared" ca="1" si="13"/>
        <v/>
      </c>
      <c r="W54" s="168" t="str">
        <f t="shared" ca="1" si="13"/>
        <v/>
      </c>
      <c r="X54" s="168" t="str">
        <f t="shared" ca="1" si="13"/>
        <v/>
      </c>
      <c r="Y54" s="168" t="str">
        <f t="shared" ca="1" si="13"/>
        <v/>
      </c>
      <c r="Z54" s="168" t="str">
        <f t="shared" ca="1" si="13"/>
        <v/>
      </c>
      <c r="AA54" s="168" t="str">
        <f t="shared" ca="1" si="13"/>
        <v/>
      </c>
      <c r="AB54" s="168" t="str">
        <f t="shared" ca="1" si="13"/>
        <v/>
      </c>
      <c r="AC54" s="168" t="str">
        <f t="shared" ca="1" si="13"/>
        <v/>
      </c>
      <c r="AD54" s="168" t="str">
        <f t="shared" ca="1" si="13"/>
        <v/>
      </c>
      <c r="AE54" s="168" t="str">
        <f t="shared" ca="1" si="13"/>
        <v/>
      </c>
      <c r="AF54" s="168" t="str">
        <f t="shared" ca="1" si="13"/>
        <v/>
      </c>
      <c r="AG54" s="168" t="str">
        <f t="shared" ca="1" si="13"/>
        <v/>
      </c>
      <c r="AH54" s="168" t="str">
        <f t="shared" ca="1" si="13"/>
        <v/>
      </c>
      <c r="AI54" s="168" t="str">
        <f t="shared" ca="1" si="13"/>
        <v/>
      </c>
    </row>
    <row r="55" spans="1:36" ht="63" x14ac:dyDescent="0.3">
      <c r="I55" s="71">
        <v>50</v>
      </c>
      <c r="J55" s="172" t="s">
        <v>120</v>
      </c>
      <c r="K55" s="173" t="str">
        <f ca="1">CONCATENATE(K5,K6,K7,K8,K9,K10,K11,K12,K13,K14,K15,K16,K17,K18,K19,K20,K21,K22,K23,K24,K25,K26,K27,K28,K29,K30,K31,K32,K33,K34,K35,K36,K37,K38,K39,K40,K41,K42,K43,K44,K45,K46,K47,K48,K49,K50,K51,K52,K53,K54)</f>
        <v/>
      </c>
      <c r="L55" s="174" t="str">
        <f t="shared" ref="L55:AI55" ca="1" si="14">CONCATENATE(L5,L6,L7,L8,L9,L10,L11,L12,L13,L14,L15,L16,L17,L18,L19,L20,L21,L22,L23,L24,L25,L26,L27,L28,L29,L30,L31,L32,L33,L34,L35,L36,L37,L38,L39,L40,L41,L42,L43,L44,L45,L46,L47,L48,L49,L50,L51,L52,L53,L54)</f>
        <v/>
      </c>
      <c r="M55" s="175" t="str">
        <f t="shared" ca="1" si="14"/>
        <v>1-CU;2-CU;3-CU;4-DN;6-DN;7-CU;8-CC;</v>
      </c>
      <c r="N55" s="176" t="str">
        <f t="shared" ca="1" si="14"/>
        <v/>
      </c>
      <c r="O55" s="177" t="str">
        <f t="shared" ca="1" si="14"/>
        <v/>
      </c>
      <c r="P55" s="173" t="str">
        <f t="shared" ca="1" si="14"/>
        <v/>
      </c>
      <c r="Q55" s="174" t="str">
        <f t="shared" ca="1" si="14"/>
        <v/>
      </c>
      <c r="R55" s="175" t="str">
        <f t="shared" ca="1" si="14"/>
        <v>5-RS;</v>
      </c>
      <c r="S55" s="176" t="str">
        <f t="shared" ca="1" si="14"/>
        <v/>
      </c>
      <c r="T55" s="178" t="str">
        <f t="shared" ca="1" si="14"/>
        <v/>
      </c>
      <c r="U55" s="179" t="str">
        <f t="shared" ca="1" si="14"/>
        <v/>
      </c>
      <c r="V55" s="175" t="str">
        <f t="shared" ca="1" si="14"/>
        <v/>
      </c>
      <c r="W55" s="176" t="str">
        <f t="shared" ca="1" si="14"/>
        <v/>
      </c>
      <c r="X55" s="180" t="str">
        <f t="shared" ca="1" si="14"/>
        <v/>
      </c>
      <c r="Y55" s="178" t="str">
        <f t="shared" ca="1" si="14"/>
        <v/>
      </c>
      <c r="Z55" s="179" t="str">
        <f t="shared" ca="1" si="14"/>
        <v/>
      </c>
      <c r="AA55" s="176" t="str">
        <f t="shared" ca="1" si="14"/>
        <v/>
      </c>
      <c r="AB55" s="181" t="str">
        <f t="shared" ca="1" si="14"/>
        <v/>
      </c>
      <c r="AC55" s="180" t="str">
        <f t="shared" ca="1" si="14"/>
        <v/>
      </c>
      <c r="AD55" s="182" t="str">
        <f t="shared" ca="1" si="14"/>
        <v/>
      </c>
      <c r="AE55" s="183" t="str">
        <f t="shared" ca="1" si="14"/>
        <v/>
      </c>
      <c r="AF55" s="184" t="str">
        <f t="shared" ca="1" si="14"/>
        <v/>
      </c>
      <c r="AG55" s="185" t="str">
        <f t="shared" ca="1" si="14"/>
        <v/>
      </c>
      <c r="AH55" s="186" t="str">
        <f t="shared" ca="1" si="14"/>
        <v/>
      </c>
      <c r="AI55" s="187" t="str">
        <f t="shared" ca="1" si="14"/>
        <v/>
      </c>
    </row>
    <row r="56" spans="1:36" x14ac:dyDescent="0.3">
      <c r="J56" s="202" t="s">
        <v>121</v>
      </c>
      <c r="K56" s="202">
        <f t="shared" ref="K56:AI56" ca="1" si="15">$I$55-COUNTBLANK(K5:K54)</f>
        <v>0</v>
      </c>
      <c r="L56" s="202">
        <f t="shared" ca="1" si="15"/>
        <v>0</v>
      </c>
      <c r="M56" s="202">
        <f t="shared" ca="1" si="15"/>
        <v>7</v>
      </c>
      <c r="N56" s="202">
        <f t="shared" ca="1" si="15"/>
        <v>0</v>
      </c>
      <c r="O56" s="202">
        <f t="shared" ca="1" si="15"/>
        <v>0</v>
      </c>
      <c r="P56" s="202">
        <f t="shared" ca="1" si="15"/>
        <v>0</v>
      </c>
      <c r="Q56" s="202">
        <f t="shared" ca="1" si="15"/>
        <v>0</v>
      </c>
      <c r="R56" s="202">
        <f t="shared" ca="1" si="15"/>
        <v>1</v>
      </c>
      <c r="S56" s="202">
        <f t="shared" ca="1" si="15"/>
        <v>0</v>
      </c>
      <c r="T56" s="202">
        <f t="shared" ca="1" si="15"/>
        <v>0</v>
      </c>
      <c r="U56" s="202">
        <f t="shared" ca="1" si="15"/>
        <v>0</v>
      </c>
      <c r="V56" s="202">
        <f t="shared" ca="1" si="15"/>
        <v>0</v>
      </c>
      <c r="W56" s="202">
        <f t="shared" ca="1" si="15"/>
        <v>0</v>
      </c>
      <c r="X56" s="202">
        <f t="shared" ca="1" si="15"/>
        <v>0</v>
      </c>
      <c r="Y56" s="202">
        <f t="shared" ca="1" si="15"/>
        <v>0</v>
      </c>
      <c r="Z56" s="202">
        <f t="shared" ca="1" si="15"/>
        <v>0</v>
      </c>
      <c r="AA56" s="202">
        <f t="shared" ca="1" si="15"/>
        <v>0</v>
      </c>
      <c r="AB56" s="202">
        <f t="shared" ca="1" si="15"/>
        <v>0</v>
      </c>
      <c r="AC56" s="202">
        <f t="shared" ca="1" si="15"/>
        <v>0</v>
      </c>
      <c r="AD56" s="202">
        <f t="shared" ca="1" si="15"/>
        <v>0</v>
      </c>
      <c r="AE56" s="202">
        <f t="shared" ca="1" si="15"/>
        <v>0</v>
      </c>
      <c r="AF56" s="202">
        <f t="shared" ca="1" si="15"/>
        <v>0</v>
      </c>
      <c r="AG56" s="202">
        <f t="shared" ca="1" si="15"/>
        <v>0</v>
      </c>
      <c r="AH56" s="202">
        <f t="shared" ca="1" si="15"/>
        <v>0</v>
      </c>
      <c r="AI56" s="202">
        <f t="shared" ca="1" si="15"/>
        <v>0</v>
      </c>
      <c r="AJ56" s="188">
        <f ca="1">SUM(K56:S56)</f>
        <v>8</v>
      </c>
    </row>
  </sheetData>
  <mergeCells count="2">
    <mergeCell ref="B2:G2"/>
    <mergeCell ref="B1:G1"/>
  </mergeCells>
  <printOptions gridLines="1"/>
  <pageMargins left="0.75" right="0.75" top="1" bottom="1" header="0" footer="0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AJ56"/>
  <sheetViews>
    <sheetView workbookViewId="0">
      <pane ySplit="4" topLeftCell="A5" activePane="bottomLeft" state="frozen"/>
      <selection activeCell="B2" sqref="B2:G2"/>
      <selection pane="bottomLeft" activeCell="C10" sqref="C10"/>
    </sheetView>
  </sheetViews>
  <sheetFormatPr defaultColWidth="11.42578125" defaultRowHeight="15.75" x14ac:dyDescent="0.3"/>
  <cols>
    <col min="1" max="1" width="11.140625" style="166" customWidth="1"/>
    <col min="2" max="2" width="6.7109375" style="166" bestFit="1" customWidth="1"/>
    <col min="3" max="3" width="101.5703125" style="169" bestFit="1" customWidth="1"/>
    <col min="4" max="4" width="12.28515625" style="170" bestFit="1" customWidth="1"/>
    <col min="5" max="5" width="8.28515625" style="170" bestFit="1" customWidth="1"/>
    <col min="6" max="6" width="8.42578125" style="170" bestFit="1" customWidth="1"/>
    <col min="7" max="7" width="9.42578125" style="171" bestFit="1" customWidth="1"/>
    <col min="8" max="8" width="14.42578125" style="166" bestFit="1" customWidth="1"/>
    <col min="9" max="9" width="3.85546875" style="166" bestFit="1" customWidth="1"/>
    <col min="10" max="10" width="12.85546875" style="166" bestFit="1" customWidth="1"/>
    <col min="11" max="12" width="3.85546875" style="166" bestFit="1" customWidth="1"/>
    <col min="13" max="13" width="5.7109375" style="166" bestFit="1" customWidth="1"/>
    <col min="14" max="35" width="3.85546875" style="166" bestFit="1" customWidth="1"/>
    <col min="36" max="36" width="2" style="166" bestFit="1" customWidth="1"/>
    <col min="37" max="16384" width="11.42578125" style="166"/>
  </cols>
  <sheetData>
    <row r="1" spans="1:35" ht="18" customHeight="1" x14ac:dyDescent="0.3">
      <c r="B1" s="396" t="s">
        <v>142</v>
      </c>
      <c r="C1" s="396"/>
      <c r="D1" s="396"/>
      <c r="E1" s="396"/>
      <c r="F1" s="396"/>
      <c r="G1" s="396"/>
      <c r="H1" s="167"/>
      <c r="I1" s="167"/>
    </row>
    <row r="2" spans="1:35" ht="18" x14ac:dyDescent="0.3">
      <c r="B2" s="423"/>
      <c r="C2" s="423"/>
      <c r="D2" s="423"/>
      <c r="E2" s="423"/>
      <c r="F2" s="423"/>
      <c r="G2" s="423"/>
      <c r="J2" s="71"/>
      <c r="K2" s="71"/>
      <c r="L2" s="71"/>
      <c r="M2" s="71"/>
      <c r="O2" s="71"/>
      <c r="P2" s="71"/>
    </row>
    <row r="3" spans="1:35" ht="16.5" thickBot="1" x14ac:dyDescent="0.35"/>
    <row r="4" spans="1:35" ht="23.25" thickBot="1" x14ac:dyDescent="0.35">
      <c r="A4" s="193" t="s">
        <v>106</v>
      </c>
      <c r="B4" s="193" t="s">
        <v>107</v>
      </c>
      <c r="C4" s="193" t="s">
        <v>108</v>
      </c>
      <c r="D4" s="195" t="s">
        <v>1</v>
      </c>
      <c r="E4" s="195" t="s">
        <v>9</v>
      </c>
      <c r="F4" s="195" t="s">
        <v>78</v>
      </c>
      <c r="G4" s="193" t="s">
        <v>109</v>
      </c>
      <c r="H4" s="193" t="s">
        <v>122</v>
      </c>
      <c r="J4" s="203" t="s">
        <v>110</v>
      </c>
      <c r="K4" s="199" t="s">
        <v>111</v>
      </c>
      <c r="L4" s="199" t="s">
        <v>112</v>
      </c>
      <c r="M4" s="199" t="s">
        <v>113</v>
      </c>
      <c r="N4" s="199" t="s">
        <v>137</v>
      </c>
      <c r="O4" s="199" t="s">
        <v>138</v>
      </c>
      <c r="P4" s="199" t="s">
        <v>114</v>
      </c>
      <c r="Q4" s="199" t="s">
        <v>115</v>
      </c>
      <c r="R4" s="199" t="s">
        <v>116</v>
      </c>
      <c r="S4" s="199" t="s">
        <v>139</v>
      </c>
      <c r="T4" s="199" t="s">
        <v>140</v>
      </c>
      <c r="U4" s="199" t="s">
        <v>117</v>
      </c>
      <c r="V4" s="199" t="s">
        <v>118</v>
      </c>
      <c r="W4" s="199" t="s">
        <v>119</v>
      </c>
      <c r="X4" s="199" t="s">
        <v>125</v>
      </c>
      <c r="Y4" s="199" t="s">
        <v>126</v>
      </c>
      <c r="Z4" s="199" t="s">
        <v>127</v>
      </c>
      <c r="AA4" s="199" t="s">
        <v>128</v>
      </c>
      <c r="AB4" s="199" t="s">
        <v>129</v>
      </c>
      <c r="AC4" s="199" t="s">
        <v>130</v>
      </c>
      <c r="AD4" s="199" t="s">
        <v>131</v>
      </c>
      <c r="AE4" s="199" t="s">
        <v>132</v>
      </c>
      <c r="AF4" s="204" t="s">
        <v>133</v>
      </c>
      <c r="AG4" s="199" t="s">
        <v>134</v>
      </c>
      <c r="AH4" s="199" t="s">
        <v>135</v>
      </c>
      <c r="AI4" s="199" t="s">
        <v>136</v>
      </c>
    </row>
    <row r="5" spans="1:35" ht="15" x14ac:dyDescent="0.3">
      <c r="A5" s="192">
        <v>1</v>
      </c>
      <c r="B5" s="192" t="str">
        <f ca="1">OFFSET('Matriz de Riesgos'!$F$14,H5,0)</f>
        <v>1-CU</v>
      </c>
      <c r="C5" s="192" t="str">
        <f ca="1">OFFSET('Matriz de Riesgos'!$G$8,H5,0)</f>
        <v>Que una contraparte reciba sobornos de otras empresas/personas</v>
      </c>
      <c r="D5" s="194">
        <f ca="1">OFFSET('Matriz de Riesgos'!$V$14,H5,0)</f>
        <v>1</v>
      </c>
      <c r="E5" s="194">
        <f ca="1">OFFSET('Matriz de Riesgos'!$W$14,H5,0)</f>
        <v>3</v>
      </c>
      <c r="F5" s="198">
        <f ca="1">D5*E5</f>
        <v>3</v>
      </c>
      <c r="G5" s="196" t="str">
        <f t="shared" ref="G5:G54" ca="1" si="0">D5&amp;E5</f>
        <v>13</v>
      </c>
      <c r="H5" s="197">
        <v>0</v>
      </c>
      <c r="J5" s="201">
        <v>1</v>
      </c>
      <c r="K5" s="196" t="str">
        <f ca="1">IF($G5=K$4,$B5&amp;";","")</f>
        <v/>
      </c>
      <c r="L5" s="196" t="str">
        <f t="shared" ref="L5:AA20" ca="1" si="1">IF($G5=L$4,$B5&amp;";","")</f>
        <v/>
      </c>
      <c r="M5" s="196" t="str">
        <f t="shared" ca="1" si="1"/>
        <v>1-CU;</v>
      </c>
      <c r="N5" s="196" t="str">
        <f t="shared" ca="1" si="1"/>
        <v/>
      </c>
      <c r="O5" s="196" t="str">
        <f t="shared" ca="1" si="1"/>
        <v/>
      </c>
      <c r="P5" s="196" t="str">
        <f t="shared" ca="1" si="1"/>
        <v/>
      </c>
      <c r="Q5" s="196" t="str">
        <f t="shared" ca="1" si="1"/>
        <v/>
      </c>
      <c r="R5" s="196" t="str">
        <f t="shared" ca="1" si="1"/>
        <v/>
      </c>
      <c r="S5" s="196" t="str">
        <f t="shared" ca="1" si="1"/>
        <v/>
      </c>
      <c r="T5" s="196" t="str">
        <f t="shared" ca="1" si="1"/>
        <v/>
      </c>
      <c r="U5" s="196" t="str">
        <f t="shared" ca="1" si="1"/>
        <v/>
      </c>
      <c r="V5" s="196" t="str">
        <f t="shared" ca="1" si="1"/>
        <v/>
      </c>
      <c r="W5" s="196" t="str">
        <f t="shared" ca="1" si="1"/>
        <v/>
      </c>
      <c r="X5" s="196" t="str">
        <f t="shared" ca="1" si="1"/>
        <v/>
      </c>
      <c r="Y5" s="196" t="str">
        <f t="shared" ca="1" si="1"/>
        <v/>
      </c>
      <c r="Z5" s="196" t="str">
        <f t="shared" ca="1" si="1"/>
        <v/>
      </c>
      <c r="AA5" s="196" t="str">
        <f t="shared" ca="1" si="1"/>
        <v/>
      </c>
      <c r="AB5" s="196" t="str">
        <f t="shared" ref="T5:AI20" ca="1" si="2">IF($G5=AB$4,$B5&amp;";","")</f>
        <v/>
      </c>
      <c r="AC5" s="196" t="str">
        <f t="shared" ca="1" si="2"/>
        <v/>
      </c>
      <c r="AD5" s="196" t="str">
        <f t="shared" ca="1" si="2"/>
        <v/>
      </c>
      <c r="AE5" s="196" t="str">
        <f t="shared" ca="1" si="2"/>
        <v/>
      </c>
      <c r="AF5" s="168" t="str">
        <f t="shared" ca="1" si="2"/>
        <v/>
      </c>
      <c r="AG5" s="196" t="str">
        <f t="shared" ca="1" si="2"/>
        <v/>
      </c>
      <c r="AH5" s="196" t="str">
        <f t="shared" ca="1" si="2"/>
        <v/>
      </c>
      <c r="AI5" s="196" t="str">
        <f t="shared" ca="1" si="2"/>
        <v/>
      </c>
    </row>
    <row r="6" spans="1:35" ht="15" x14ac:dyDescent="0.3">
      <c r="A6" s="189">
        <v>2</v>
      </c>
      <c r="B6" s="189" t="str">
        <f ca="1">OFFSET('Matriz de Riesgos'!$F$14,H6,0)</f>
        <v>2-CU</v>
      </c>
      <c r="C6" s="189" t="str">
        <f ca="1">OFFSET('Matriz de Riesgos'!$G$8,H6,0)</f>
        <v>Que algún proveedor reciba sobornos de cualquier forma</v>
      </c>
      <c r="D6" s="190">
        <f ca="1">OFFSET('Matriz de Riesgos'!$V$14,H6,0)</f>
        <v>1</v>
      </c>
      <c r="E6" s="190">
        <f ca="1">OFFSET('Matriz de Riesgos'!$W$14,H6,0)</f>
        <v>3</v>
      </c>
      <c r="F6" s="191">
        <f t="shared" ref="F6:F54" ca="1" si="3">D6*E6</f>
        <v>3</v>
      </c>
      <c r="G6" s="168" t="str">
        <f t="shared" ca="1" si="0"/>
        <v>13</v>
      </c>
      <c r="H6" s="168">
        <v>11</v>
      </c>
      <c r="J6" s="201">
        <v>2</v>
      </c>
      <c r="K6" s="168" t="str">
        <f t="shared" ref="K6:Z21" ca="1" si="4">IF($G6=K$4,$B6&amp;";","")</f>
        <v/>
      </c>
      <c r="L6" s="168" t="str">
        <f t="shared" ca="1" si="1"/>
        <v/>
      </c>
      <c r="M6" s="168" t="str">
        <f t="shared" ca="1" si="1"/>
        <v>2-CU;</v>
      </c>
      <c r="N6" s="168" t="str">
        <f t="shared" ca="1" si="1"/>
        <v/>
      </c>
      <c r="O6" s="168" t="str">
        <f t="shared" ca="1" si="1"/>
        <v/>
      </c>
      <c r="P6" s="168" t="str">
        <f t="shared" ca="1" si="1"/>
        <v/>
      </c>
      <c r="Q6" s="168" t="str">
        <f t="shared" ca="1" si="1"/>
        <v/>
      </c>
      <c r="R6" s="168" t="str">
        <f t="shared" ca="1" si="1"/>
        <v/>
      </c>
      <c r="S6" s="168" t="str">
        <f t="shared" ca="1" si="1"/>
        <v/>
      </c>
      <c r="T6" s="168" t="str">
        <f t="shared" ca="1" si="2"/>
        <v/>
      </c>
      <c r="U6" s="168" t="str">
        <f t="shared" ca="1" si="2"/>
        <v/>
      </c>
      <c r="V6" s="168" t="str">
        <f t="shared" ca="1" si="2"/>
        <v/>
      </c>
      <c r="W6" s="168" t="str">
        <f t="shared" ca="1" si="2"/>
        <v/>
      </c>
      <c r="X6" s="168" t="str">
        <f t="shared" ca="1" si="2"/>
        <v/>
      </c>
      <c r="Y6" s="168" t="str">
        <f t="shared" ca="1" si="2"/>
        <v/>
      </c>
      <c r="Z6" s="168" t="str">
        <f t="shared" ca="1" si="2"/>
        <v/>
      </c>
      <c r="AA6" s="168" t="str">
        <f t="shared" ca="1" si="2"/>
        <v/>
      </c>
      <c r="AB6" s="168" t="str">
        <f t="shared" ca="1" si="2"/>
        <v/>
      </c>
      <c r="AC6" s="168" t="str">
        <f t="shared" ca="1" si="2"/>
        <v/>
      </c>
      <c r="AD6" s="168" t="str">
        <f t="shared" ca="1" si="2"/>
        <v/>
      </c>
      <c r="AE6" s="168" t="str">
        <f t="shared" ca="1" si="2"/>
        <v/>
      </c>
      <c r="AF6" s="168" t="str">
        <f t="shared" ca="1" si="2"/>
        <v/>
      </c>
      <c r="AG6" s="168" t="str">
        <f t="shared" ca="1" si="2"/>
        <v/>
      </c>
      <c r="AH6" s="168" t="str">
        <f t="shared" ca="1" si="2"/>
        <v/>
      </c>
      <c r="AI6" s="168" t="str">
        <f t="shared" ca="1" si="2"/>
        <v/>
      </c>
    </row>
    <row r="7" spans="1:35" ht="15" x14ac:dyDescent="0.3">
      <c r="A7" s="189">
        <v>3</v>
      </c>
      <c r="B7" s="189" t="str">
        <f ca="1">OFFSET('Matriz de Riesgos'!$F$14,H7,0)</f>
        <v>3-CU</v>
      </c>
      <c r="C7" s="189" t="s">
        <v>284</v>
      </c>
      <c r="D7" s="190">
        <f ca="1">OFFSET('Matriz de Riesgos'!$V$14,H7,0)</f>
        <v>1</v>
      </c>
      <c r="E7" s="190">
        <f ca="1">OFFSET('Matriz de Riesgos'!$W$14,H7,0)</f>
        <v>3</v>
      </c>
      <c r="F7" s="191">
        <f t="shared" ca="1" si="3"/>
        <v>3</v>
      </c>
      <c r="G7" s="168" t="str">
        <f t="shared" ca="1" si="0"/>
        <v>13</v>
      </c>
      <c r="H7" s="168">
        <f>H6+11</f>
        <v>22</v>
      </c>
      <c r="J7" s="201">
        <v>3</v>
      </c>
      <c r="K7" s="168" t="str">
        <f t="shared" ca="1" si="4"/>
        <v/>
      </c>
      <c r="L7" s="168" t="str">
        <f t="shared" ca="1" si="1"/>
        <v/>
      </c>
      <c r="M7" s="168" t="str">
        <f t="shared" ca="1" si="1"/>
        <v>3-CU;</v>
      </c>
      <c r="N7" s="168" t="str">
        <f t="shared" ca="1" si="1"/>
        <v/>
      </c>
      <c r="O7" s="168" t="str">
        <f t="shared" ca="1" si="1"/>
        <v/>
      </c>
      <c r="P7" s="168" t="str">
        <f t="shared" ca="1" si="1"/>
        <v/>
      </c>
      <c r="Q7" s="168" t="str">
        <f t="shared" ca="1" si="1"/>
        <v/>
      </c>
      <c r="R7" s="168" t="str">
        <f t="shared" ca="1" si="1"/>
        <v/>
      </c>
      <c r="S7" s="168" t="str">
        <f t="shared" ca="1" si="1"/>
        <v/>
      </c>
      <c r="T7" s="168" t="str">
        <f t="shared" ca="1" si="2"/>
        <v/>
      </c>
      <c r="U7" s="168" t="str">
        <f t="shared" ca="1" si="2"/>
        <v/>
      </c>
      <c r="V7" s="168" t="str">
        <f t="shared" ca="1" si="2"/>
        <v/>
      </c>
      <c r="W7" s="168" t="str">
        <f t="shared" ca="1" si="2"/>
        <v/>
      </c>
      <c r="X7" s="168" t="str">
        <f t="shared" ca="1" si="2"/>
        <v/>
      </c>
      <c r="Y7" s="168" t="str">
        <f t="shared" ca="1" si="2"/>
        <v/>
      </c>
      <c r="Z7" s="168" t="str">
        <f t="shared" ca="1" si="2"/>
        <v/>
      </c>
      <c r="AA7" s="168" t="str">
        <f t="shared" ca="1" si="2"/>
        <v/>
      </c>
      <c r="AB7" s="168" t="str">
        <f t="shared" ca="1" si="2"/>
        <v/>
      </c>
      <c r="AC7" s="168" t="str">
        <f t="shared" ca="1" si="2"/>
        <v/>
      </c>
      <c r="AD7" s="168" t="str">
        <f t="shared" ca="1" si="2"/>
        <v/>
      </c>
      <c r="AE7" s="168" t="str">
        <f t="shared" ca="1" si="2"/>
        <v/>
      </c>
      <c r="AF7" s="168" t="str">
        <f t="shared" ca="1" si="2"/>
        <v/>
      </c>
      <c r="AG7" s="168" t="str">
        <f t="shared" ca="1" si="2"/>
        <v/>
      </c>
      <c r="AH7" s="168" t="str">
        <f t="shared" ca="1" si="2"/>
        <v/>
      </c>
      <c r="AI7" s="168" t="str">
        <f t="shared" ca="1" si="2"/>
        <v/>
      </c>
    </row>
    <row r="8" spans="1:35" ht="15" x14ac:dyDescent="0.3">
      <c r="A8" s="189">
        <v>4</v>
      </c>
      <c r="B8" s="189" t="str">
        <f ca="1">OFFSET('Matriz de Riesgos'!$F$14,H8,0)</f>
        <v>4-DN</v>
      </c>
      <c r="C8" s="189" t="str">
        <f ca="1">OFFSET('Matriz de Riesgos'!$G$8,H8,0)</f>
        <v>Que algún cliente reciba sobornos de cualquier forma</v>
      </c>
      <c r="D8" s="190">
        <f ca="1">OFFSET('Matriz de Riesgos'!$V$14,H8,0)</f>
        <v>1</v>
      </c>
      <c r="E8" s="190">
        <f ca="1">OFFSET('Matriz de Riesgos'!$W$14,H8,0)</f>
        <v>3</v>
      </c>
      <c r="F8" s="191">
        <f t="shared" ca="1" si="3"/>
        <v>3</v>
      </c>
      <c r="G8" s="168" t="str">
        <f t="shared" ca="1" si="0"/>
        <v>13</v>
      </c>
      <c r="H8" s="168">
        <f t="shared" ref="H8:H54" si="5">H7+11</f>
        <v>33</v>
      </c>
      <c r="J8" s="201">
        <v>4</v>
      </c>
      <c r="K8" s="168" t="str">
        <f t="shared" ca="1" si="4"/>
        <v/>
      </c>
      <c r="L8" s="168" t="str">
        <f t="shared" ca="1" si="1"/>
        <v/>
      </c>
      <c r="M8" s="168" t="str">
        <f t="shared" ca="1" si="1"/>
        <v>4-DN;</v>
      </c>
      <c r="N8" s="168" t="str">
        <f t="shared" ca="1" si="1"/>
        <v/>
      </c>
      <c r="O8" s="168" t="str">
        <f t="shared" ca="1" si="1"/>
        <v/>
      </c>
      <c r="P8" s="168" t="str">
        <f t="shared" ca="1" si="1"/>
        <v/>
      </c>
      <c r="Q8" s="168" t="str">
        <f t="shared" ca="1" si="1"/>
        <v/>
      </c>
      <c r="R8" s="168" t="str">
        <f t="shared" ca="1" si="1"/>
        <v/>
      </c>
      <c r="S8" s="168" t="str">
        <f t="shared" ca="1" si="1"/>
        <v/>
      </c>
      <c r="T8" s="168" t="str">
        <f t="shared" ca="1" si="2"/>
        <v/>
      </c>
      <c r="U8" s="168" t="str">
        <f t="shared" ca="1" si="2"/>
        <v/>
      </c>
      <c r="V8" s="168" t="str">
        <f t="shared" ca="1" si="2"/>
        <v/>
      </c>
      <c r="W8" s="168" t="str">
        <f t="shared" ca="1" si="2"/>
        <v/>
      </c>
      <c r="X8" s="168" t="str">
        <f t="shared" ca="1" si="2"/>
        <v/>
      </c>
      <c r="Y8" s="168" t="str">
        <f t="shared" ca="1" si="2"/>
        <v/>
      </c>
      <c r="Z8" s="168" t="str">
        <f t="shared" ca="1" si="2"/>
        <v/>
      </c>
      <c r="AA8" s="168" t="str">
        <f t="shared" ca="1" si="2"/>
        <v/>
      </c>
      <c r="AB8" s="168" t="str">
        <f t="shared" ca="1" si="2"/>
        <v/>
      </c>
      <c r="AC8" s="168" t="str">
        <f t="shared" ca="1" si="2"/>
        <v/>
      </c>
      <c r="AD8" s="168" t="str">
        <f t="shared" ca="1" si="2"/>
        <v/>
      </c>
      <c r="AE8" s="168" t="str">
        <f t="shared" ca="1" si="2"/>
        <v/>
      </c>
      <c r="AF8" s="168" t="str">
        <f t="shared" ca="1" si="2"/>
        <v/>
      </c>
      <c r="AG8" s="168" t="str">
        <f t="shared" ca="1" si="2"/>
        <v/>
      </c>
      <c r="AH8" s="168" t="str">
        <f t="shared" ca="1" si="2"/>
        <v/>
      </c>
      <c r="AI8" s="168" t="str">
        <f t="shared" ca="1" si="2"/>
        <v/>
      </c>
    </row>
    <row r="9" spans="1:35" ht="15" x14ac:dyDescent="0.3">
      <c r="A9" s="189">
        <v>5</v>
      </c>
      <c r="B9" s="189" t="str">
        <f ca="1">OFFSET('Matriz de Riesgos'!$F$14,H9,0)</f>
        <v>5-RS</v>
      </c>
      <c r="C9" s="189" t="str">
        <f ca="1">OFFSET('Matriz de Riesgos'!$G$8,H9,0)</f>
        <v>Que algún empleado reciba sobornos de cualquier forma</v>
      </c>
      <c r="D9" s="190">
        <f ca="1">OFFSET('Matriz de Riesgos'!$V$14,H9,0)</f>
        <v>1</v>
      </c>
      <c r="E9" s="190">
        <f ca="1">OFFSET('Matriz de Riesgos'!$W$14,H9,0)</f>
        <v>3</v>
      </c>
      <c r="F9" s="191">
        <f t="shared" ca="1" si="3"/>
        <v>3</v>
      </c>
      <c r="G9" s="168" t="str">
        <f t="shared" ca="1" si="0"/>
        <v>13</v>
      </c>
      <c r="H9" s="168">
        <f t="shared" si="5"/>
        <v>44</v>
      </c>
      <c r="J9" s="201">
        <v>5</v>
      </c>
      <c r="K9" s="168" t="str">
        <f t="shared" ca="1" si="4"/>
        <v/>
      </c>
      <c r="L9" s="168" t="str">
        <f t="shared" ca="1" si="1"/>
        <v/>
      </c>
      <c r="M9" s="168" t="str">
        <f t="shared" ca="1" si="1"/>
        <v>5-RS;</v>
      </c>
      <c r="N9" s="168" t="str">
        <f t="shared" ca="1" si="1"/>
        <v/>
      </c>
      <c r="O9" s="168" t="str">
        <f t="shared" ca="1" si="1"/>
        <v/>
      </c>
      <c r="P9" s="168" t="str">
        <f t="shared" ca="1" si="1"/>
        <v/>
      </c>
      <c r="Q9" s="168" t="str">
        <f t="shared" ca="1" si="1"/>
        <v/>
      </c>
      <c r="R9" s="168" t="str">
        <f t="shared" ca="1" si="1"/>
        <v/>
      </c>
      <c r="S9" s="168" t="str">
        <f t="shared" ca="1" si="1"/>
        <v/>
      </c>
      <c r="T9" s="168" t="str">
        <f t="shared" ca="1" si="2"/>
        <v/>
      </c>
      <c r="U9" s="168" t="str">
        <f t="shared" ca="1" si="2"/>
        <v/>
      </c>
      <c r="V9" s="168" t="str">
        <f t="shared" ca="1" si="2"/>
        <v/>
      </c>
      <c r="W9" s="168" t="str">
        <f t="shared" ca="1" si="2"/>
        <v/>
      </c>
      <c r="X9" s="168" t="str">
        <f t="shared" ca="1" si="2"/>
        <v/>
      </c>
      <c r="Y9" s="168" t="str">
        <f t="shared" ca="1" si="2"/>
        <v/>
      </c>
      <c r="Z9" s="168" t="str">
        <f t="shared" ca="1" si="2"/>
        <v/>
      </c>
      <c r="AA9" s="168" t="str">
        <f t="shared" ca="1" si="2"/>
        <v/>
      </c>
      <c r="AB9" s="168" t="str">
        <f t="shared" ca="1" si="2"/>
        <v/>
      </c>
      <c r="AC9" s="168" t="str">
        <f t="shared" ca="1" si="2"/>
        <v/>
      </c>
      <c r="AD9" s="168" t="str">
        <f t="shared" ca="1" si="2"/>
        <v/>
      </c>
      <c r="AE9" s="168" t="str">
        <f t="shared" ca="1" si="2"/>
        <v/>
      </c>
      <c r="AF9" s="168" t="str">
        <f t="shared" ca="1" si="2"/>
        <v/>
      </c>
      <c r="AG9" s="168" t="str">
        <f t="shared" ca="1" si="2"/>
        <v/>
      </c>
      <c r="AH9" s="168" t="str">
        <f t="shared" ca="1" si="2"/>
        <v/>
      </c>
      <c r="AI9" s="168" t="str">
        <f t="shared" ca="1" si="2"/>
        <v/>
      </c>
    </row>
    <row r="10" spans="1:35" ht="15" x14ac:dyDescent="0.3">
      <c r="A10" s="189">
        <v>6</v>
      </c>
      <c r="B10" s="189" t="str">
        <f ca="1">OFFSET('Matriz de Riesgos'!$F$14,H10,0)</f>
        <v>6-DN</v>
      </c>
      <c r="C10" s="189" t="s">
        <v>285</v>
      </c>
      <c r="D10" s="190">
        <f ca="1">OFFSET('Matriz de Riesgos'!$V$14,H10,0)</f>
        <v>1</v>
      </c>
      <c r="E10" s="190">
        <f ca="1">OFFSET('Matriz de Riesgos'!$W$14,H10,0)</f>
        <v>3</v>
      </c>
      <c r="F10" s="191">
        <f t="shared" ca="1" si="3"/>
        <v>3</v>
      </c>
      <c r="G10" s="168" t="str">
        <f t="shared" ca="1" si="0"/>
        <v>13</v>
      </c>
      <c r="H10" s="168">
        <f t="shared" si="5"/>
        <v>55</v>
      </c>
      <c r="J10" s="201">
        <v>6</v>
      </c>
      <c r="K10" s="168" t="str">
        <f t="shared" ca="1" si="4"/>
        <v/>
      </c>
      <c r="L10" s="168" t="str">
        <f t="shared" ca="1" si="1"/>
        <v/>
      </c>
      <c r="M10" s="168" t="str">
        <f t="shared" ca="1" si="1"/>
        <v>6-DN;</v>
      </c>
      <c r="N10" s="168" t="str">
        <f t="shared" ca="1" si="1"/>
        <v/>
      </c>
      <c r="O10" s="168" t="str">
        <f t="shared" ca="1" si="1"/>
        <v/>
      </c>
      <c r="P10" s="168" t="str">
        <f t="shared" ca="1" si="1"/>
        <v/>
      </c>
      <c r="Q10" s="168" t="str">
        <f t="shared" ca="1" si="1"/>
        <v/>
      </c>
      <c r="R10" s="168" t="str">
        <f t="shared" ca="1" si="1"/>
        <v/>
      </c>
      <c r="S10" s="168" t="str">
        <f t="shared" ca="1" si="1"/>
        <v/>
      </c>
      <c r="T10" s="168" t="str">
        <f t="shared" ca="1" si="2"/>
        <v/>
      </c>
      <c r="U10" s="168" t="str">
        <f t="shared" ca="1" si="2"/>
        <v/>
      </c>
      <c r="V10" s="168" t="str">
        <f t="shared" ca="1" si="2"/>
        <v/>
      </c>
      <c r="W10" s="168" t="str">
        <f t="shared" ca="1" si="2"/>
        <v/>
      </c>
      <c r="X10" s="168" t="str">
        <f t="shared" ca="1" si="2"/>
        <v/>
      </c>
      <c r="Y10" s="168" t="str">
        <f t="shared" ca="1" si="2"/>
        <v/>
      </c>
      <c r="Z10" s="168" t="str">
        <f t="shared" ca="1" si="2"/>
        <v/>
      </c>
      <c r="AA10" s="168" t="str">
        <f t="shared" ca="1" si="2"/>
        <v/>
      </c>
      <c r="AB10" s="168" t="str">
        <f t="shared" ca="1" si="2"/>
        <v/>
      </c>
      <c r="AC10" s="168" t="str">
        <f t="shared" ca="1" si="2"/>
        <v/>
      </c>
      <c r="AD10" s="168" t="str">
        <f t="shared" ca="1" si="2"/>
        <v/>
      </c>
      <c r="AE10" s="168" t="str">
        <f t="shared" ca="1" si="2"/>
        <v/>
      </c>
      <c r="AF10" s="168" t="str">
        <f t="shared" ca="1" si="2"/>
        <v/>
      </c>
      <c r="AG10" s="168" t="str">
        <f t="shared" ca="1" si="2"/>
        <v/>
      </c>
      <c r="AH10" s="168" t="str">
        <f t="shared" ca="1" si="2"/>
        <v/>
      </c>
      <c r="AI10" s="168" t="str">
        <f t="shared" ca="1" si="2"/>
        <v/>
      </c>
    </row>
    <row r="11" spans="1:35" ht="15" x14ac:dyDescent="0.3">
      <c r="A11" s="189">
        <v>7</v>
      </c>
      <c r="B11" s="189" t="str">
        <f ca="1">OFFSET('Matriz de Riesgos'!$F$14,H11,0)</f>
        <v>7-CU</v>
      </c>
      <c r="C11" s="189" t="str">
        <f ca="1">OFFSET('Matriz de Riesgos'!$G$8,H11,0)</f>
        <v>Desconocer que las caracteristicas propias del servicio prestado a un cliente o proveedor favorezcan actividades de Soborno</v>
      </c>
      <c r="D11" s="190">
        <f ca="1">OFFSET('Matriz de Riesgos'!$V$14,H11,0)</f>
        <v>1</v>
      </c>
      <c r="E11" s="190">
        <f ca="1">OFFSET('Matriz de Riesgos'!$W$14,H11,0)</f>
        <v>3</v>
      </c>
      <c r="F11" s="191">
        <f t="shared" ca="1" si="3"/>
        <v>3</v>
      </c>
      <c r="G11" s="168" t="str">
        <f t="shared" ca="1" si="0"/>
        <v>13</v>
      </c>
      <c r="H11" s="168">
        <f t="shared" si="5"/>
        <v>66</v>
      </c>
      <c r="J11" s="201">
        <v>7</v>
      </c>
      <c r="K11" s="168" t="str">
        <f t="shared" ca="1" si="4"/>
        <v/>
      </c>
      <c r="L11" s="168" t="str">
        <f t="shared" ca="1" si="1"/>
        <v/>
      </c>
      <c r="M11" s="168" t="str">
        <f t="shared" ca="1" si="1"/>
        <v>7-CU;</v>
      </c>
      <c r="N11" s="168" t="str">
        <f t="shared" ca="1" si="1"/>
        <v/>
      </c>
      <c r="O11" s="168" t="str">
        <f t="shared" ca="1" si="1"/>
        <v/>
      </c>
      <c r="P11" s="168" t="str">
        <f t="shared" ca="1" si="1"/>
        <v/>
      </c>
      <c r="Q11" s="168" t="str">
        <f t="shared" ca="1" si="1"/>
        <v/>
      </c>
      <c r="R11" s="168" t="str">
        <f t="shared" ca="1" si="1"/>
        <v/>
      </c>
      <c r="S11" s="168" t="str">
        <f t="shared" ca="1" si="1"/>
        <v/>
      </c>
      <c r="T11" s="168" t="str">
        <f t="shared" ca="1" si="2"/>
        <v/>
      </c>
      <c r="U11" s="168" t="str">
        <f t="shared" ca="1" si="2"/>
        <v/>
      </c>
      <c r="V11" s="168" t="str">
        <f t="shared" ca="1" si="2"/>
        <v/>
      </c>
      <c r="W11" s="168" t="str">
        <f t="shared" ca="1" si="2"/>
        <v/>
      </c>
      <c r="X11" s="168" t="str">
        <f t="shared" ca="1" si="2"/>
        <v/>
      </c>
      <c r="Y11" s="168" t="str">
        <f t="shared" ca="1" si="2"/>
        <v/>
      </c>
      <c r="Z11" s="168" t="str">
        <f t="shared" ca="1" si="2"/>
        <v/>
      </c>
      <c r="AA11" s="168" t="str">
        <f t="shared" ca="1" si="2"/>
        <v/>
      </c>
      <c r="AB11" s="168" t="str">
        <f t="shared" ca="1" si="2"/>
        <v/>
      </c>
      <c r="AC11" s="168" t="str">
        <f t="shared" ca="1" si="2"/>
        <v/>
      </c>
      <c r="AD11" s="168" t="str">
        <f t="shared" ca="1" si="2"/>
        <v/>
      </c>
      <c r="AE11" s="168" t="str">
        <f t="shared" ca="1" si="2"/>
        <v/>
      </c>
      <c r="AF11" s="168" t="str">
        <f t="shared" ca="1" si="2"/>
        <v/>
      </c>
      <c r="AG11" s="168" t="str">
        <f t="shared" ca="1" si="2"/>
        <v/>
      </c>
      <c r="AH11" s="168" t="str">
        <f t="shared" ca="1" si="2"/>
        <v/>
      </c>
      <c r="AI11" s="168" t="str">
        <f t="shared" ca="1" si="2"/>
        <v/>
      </c>
    </row>
    <row r="12" spans="1:35" ht="15" x14ac:dyDescent="0.3">
      <c r="A12" s="189">
        <v>8</v>
      </c>
      <c r="B12" s="189" t="str">
        <f ca="1">OFFSET('Matriz de Riesgos'!$F$14,H12,0)</f>
        <v>8-CC</v>
      </c>
      <c r="C12" s="189" t="str">
        <f ca="1">OFFSET('Matriz de Riesgos'!$G$8,H12,0)</f>
        <v>Que se realice inadvertidamente pagos a un proveedor vinculado con actividades de Soborno</v>
      </c>
      <c r="D12" s="190">
        <f ca="1">OFFSET('Matriz de Riesgos'!$V$14,H12,0)</f>
        <v>1</v>
      </c>
      <c r="E12" s="190">
        <f ca="1">OFFSET('Matriz de Riesgos'!$W$14,H12,0)</f>
        <v>3</v>
      </c>
      <c r="F12" s="191">
        <f t="shared" ca="1" si="3"/>
        <v>3</v>
      </c>
      <c r="G12" s="168" t="str">
        <f t="shared" ca="1" si="0"/>
        <v>13</v>
      </c>
      <c r="H12" s="168">
        <f t="shared" si="5"/>
        <v>77</v>
      </c>
      <c r="J12" s="201">
        <v>8</v>
      </c>
      <c r="K12" s="168" t="str">
        <f t="shared" ca="1" si="4"/>
        <v/>
      </c>
      <c r="L12" s="168" t="str">
        <f t="shared" ca="1" si="1"/>
        <v/>
      </c>
      <c r="M12" s="168" t="str">
        <f t="shared" ca="1" si="1"/>
        <v>8-CC;</v>
      </c>
      <c r="N12" s="168" t="str">
        <f t="shared" ca="1" si="1"/>
        <v/>
      </c>
      <c r="O12" s="168" t="str">
        <f t="shared" ca="1" si="1"/>
        <v/>
      </c>
      <c r="P12" s="168" t="str">
        <f t="shared" ca="1" si="1"/>
        <v/>
      </c>
      <c r="Q12" s="168" t="str">
        <f t="shared" ca="1" si="1"/>
        <v/>
      </c>
      <c r="R12" s="168" t="str">
        <f t="shared" ca="1" si="1"/>
        <v/>
      </c>
      <c r="S12" s="168" t="str">
        <f t="shared" ca="1" si="1"/>
        <v/>
      </c>
      <c r="T12" s="168" t="str">
        <f t="shared" ca="1" si="2"/>
        <v/>
      </c>
      <c r="U12" s="168" t="str">
        <f t="shared" ca="1" si="2"/>
        <v/>
      </c>
      <c r="V12" s="168" t="str">
        <f t="shared" ca="1" si="2"/>
        <v/>
      </c>
      <c r="W12" s="168" t="str">
        <f t="shared" ca="1" si="2"/>
        <v/>
      </c>
      <c r="X12" s="168" t="str">
        <f t="shared" ca="1" si="2"/>
        <v/>
      </c>
      <c r="Y12" s="168" t="str">
        <f t="shared" ca="1" si="2"/>
        <v/>
      </c>
      <c r="Z12" s="168" t="str">
        <f t="shared" ca="1" si="2"/>
        <v/>
      </c>
      <c r="AA12" s="168" t="str">
        <f t="shared" ca="1" si="2"/>
        <v/>
      </c>
      <c r="AB12" s="168" t="str">
        <f t="shared" ca="1" si="2"/>
        <v/>
      </c>
      <c r="AC12" s="168" t="str">
        <f t="shared" ca="1" si="2"/>
        <v/>
      </c>
      <c r="AD12" s="168" t="str">
        <f t="shared" ca="1" si="2"/>
        <v/>
      </c>
      <c r="AE12" s="168" t="str">
        <f t="shared" ca="1" si="2"/>
        <v/>
      </c>
      <c r="AF12" s="168" t="str">
        <f t="shared" ca="1" si="2"/>
        <v/>
      </c>
      <c r="AG12" s="168" t="str">
        <f t="shared" ca="1" si="2"/>
        <v/>
      </c>
      <c r="AH12" s="168" t="str">
        <f t="shared" ca="1" si="2"/>
        <v/>
      </c>
      <c r="AI12" s="168" t="str">
        <f t="shared" ca="1" si="2"/>
        <v/>
      </c>
    </row>
    <row r="13" spans="1:35" ht="15" x14ac:dyDescent="0.3">
      <c r="A13" s="189">
        <v>9</v>
      </c>
      <c r="B13" s="189">
        <f ca="1">OFFSET('Matriz de Riesgos'!$F$14,H13,0)</f>
        <v>0</v>
      </c>
      <c r="C13" s="189">
        <f ca="1">OFFSET('Matriz de Riesgos'!$G$8,H13,0)</f>
        <v>0</v>
      </c>
      <c r="D13" s="190">
        <f ca="1">OFFSET('Matriz de Riesgos'!$V$14,H13,0)</f>
        <v>0</v>
      </c>
      <c r="E13" s="190">
        <f ca="1">OFFSET('Matriz de Riesgos'!$W$14,H13,0)</f>
        <v>0</v>
      </c>
      <c r="F13" s="191">
        <f t="shared" ca="1" si="3"/>
        <v>0</v>
      </c>
      <c r="G13" s="168" t="str">
        <f t="shared" ca="1" si="0"/>
        <v>00</v>
      </c>
      <c r="H13" s="168">
        <f t="shared" si="5"/>
        <v>88</v>
      </c>
      <c r="J13" s="201">
        <v>9</v>
      </c>
      <c r="K13" s="168" t="str">
        <f t="shared" ca="1" si="4"/>
        <v/>
      </c>
      <c r="L13" s="168" t="str">
        <f t="shared" ca="1" si="1"/>
        <v/>
      </c>
      <c r="M13" s="168" t="str">
        <f t="shared" ca="1" si="1"/>
        <v/>
      </c>
      <c r="N13" s="168" t="str">
        <f t="shared" ca="1" si="1"/>
        <v/>
      </c>
      <c r="O13" s="168" t="str">
        <f t="shared" ca="1" si="1"/>
        <v/>
      </c>
      <c r="P13" s="168" t="str">
        <f t="shared" ca="1" si="1"/>
        <v/>
      </c>
      <c r="Q13" s="168" t="str">
        <f t="shared" ca="1" si="1"/>
        <v/>
      </c>
      <c r="R13" s="168" t="str">
        <f t="shared" ca="1" si="1"/>
        <v/>
      </c>
      <c r="S13" s="168" t="str">
        <f t="shared" ca="1" si="1"/>
        <v/>
      </c>
      <c r="T13" s="168" t="str">
        <f t="shared" ca="1" si="2"/>
        <v/>
      </c>
      <c r="U13" s="168" t="str">
        <f t="shared" ca="1" si="2"/>
        <v/>
      </c>
      <c r="V13" s="168" t="str">
        <f t="shared" ca="1" si="2"/>
        <v/>
      </c>
      <c r="W13" s="168" t="str">
        <f t="shared" ca="1" si="2"/>
        <v/>
      </c>
      <c r="X13" s="168" t="str">
        <f t="shared" ca="1" si="2"/>
        <v/>
      </c>
      <c r="Y13" s="168" t="str">
        <f t="shared" ca="1" si="2"/>
        <v/>
      </c>
      <c r="Z13" s="168" t="str">
        <f t="shared" ca="1" si="2"/>
        <v/>
      </c>
      <c r="AA13" s="168" t="str">
        <f t="shared" ca="1" si="2"/>
        <v/>
      </c>
      <c r="AB13" s="168" t="str">
        <f t="shared" ca="1" si="2"/>
        <v/>
      </c>
      <c r="AC13" s="168" t="str">
        <f t="shared" ca="1" si="2"/>
        <v/>
      </c>
      <c r="AD13" s="168" t="str">
        <f t="shared" ca="1" si="2"/>
        <v/>
      </c>
      <c r="AE13" s="168" t="str">
        <f t="shared" ca="1" si="2"/>
        <v/>
      </c>
      <c r="AF13" s="168" t="str">
        <f t="shared" ca="1" si="2"/>
        <v/>
      </c>
      <c r="AG13" s="168" t="str">
        <f t="shared" ca="1" si="2"/>
        <v/>
      </c>
      <c r="AH13" s="168" t="str">
        <f t="shared" ca="1" si="2"/>
        <v/>
      </c>
      <c r="AI13" s="168" t="str">
        <f t="shared" ca="1" si="2"/>
        <v/>
      </c>
    </row>
    <row r="14" spans="1:35" ht="15" x14ac:dyDescent="0.3">
      <c r="A14" s="189">
        <v>10</v>
      </c>
      <c r="B14" s="189">
        <f ca="1">OFFSET('Matriz de Riesgos'!$F$14,H14,0)</f>
        <v>0</v>
      </c>
      <c r="C14" s="189">
        <f ca="1">OFFSET('Matriz de Riesgos'!$G$8,H14,0)</f>
        <v>0</v>
      </c>
      <c r="D14" s="190">
        <f ca="1">OFFSET('Matriz de Riesgos'!$V$14,H14,0)</f>
        <v>0</v>
      </c>
      <c r="E14" s="190">
        <f ca="1">OFFSET('Matriz de Riesgos'!$W$14,H14,0)</f>
        <v>0</v>
      </c>
      <c r="F14" s="191">
        <f t="shared" ca="1" si="3"/>
        <v>0</v>
      </c>
      <c r="G14" s="168" t="str">
        <f t="shared" ca="1" si="0"/>
        <v>00</v>
      </c>
      <c r="H14" s="168">
        <f t="shared" si="5"/>
        <v>99</v>
      </c>
      <c r="J14" s="201">
        <v>10</v>
      </c>
      <c r="K14" s="168" t="str">
        <f t="shared" ca="1" si="4"/>
        <v/>
      </c>
      <c r="L14" s="168" t="str">
        <f t="shared" ca="1" si="1"/>
        <v/>
      </c>
      <c r="M14" s="168" t="str">
        <f t="shared" ca="1" si="1"/>
        <v/>
      </c>
      <c r="N14" s="168" t="str">
        <f t="shared" ca="1" si="1"/>
        <v/>
      </c>
      <c r="O14" s="168" t="str">
        <f t="shared" ca="1" si="1"/>
        <v/>
      </c>
      <c r="P14" s="168" t="str">
        <f t="shared" ca="1" si="1"/>
        <v/>
      </c>
      <c r="Q14" s="168" t="str">
        <f t="shared" ca="1" si="1"/>
        <v/>
      </c>
      <c r="R14" s="168" t="str">
        <f t="shared" ca="1" si="1"/>
        <v/>
      </c>
      <c r="S14" s="168" t="str">
        <f t="shared" ca="1" si="1"/>
        <v/>
      </c>
      <c r="T14" s="168" t="str">
        <f t="shared" ca="1" si="2"/>
        <v/>
      </c>
      <c r="U14" s="168" t="str">
        <f t="shared" ca="1" si="2"/>
        <v/>
      </c>
      <c r="V14" s="168" t="str">
        <f t="shared" ca="1" si="2"/>
        <v/>
      </c>
      <c r="W14" s="168" t="str">
        <f t="shared" ca="1" si="2"/>
        <v/>
      </c>
      <c r="X14" s="168" t="str">
        <f t="shared" ca="1" si="2"/>
        <v/>
      </c>
      <c r="Y14" s="168" t="str">
        <f t="shared" ca="1" si="2"/>
        <v/>
      </c>
      <c r="Z14" s="168" t="str">
        <f t="shared" ca="1" si="2"/>
        <v/>
      </c>
      <c r="AA14" s="168" t="str">
        <f t="shared" ca="1" si="2"/>
        <v/>
      </c>
      <c r="AB14" s="168" t="str">
        <f t="shared" ca="1" si="2"/>
        <v/>
      </c>
      <c r="AC14" s="168" t="str">
        <f t="shared" ca="1" si="2"/>
        <v/>
      </c>
      <c r="AD14" s="168" t="str">
        <f t="shared" ca="1" si="2"/>
        <v/>
      </c>
      <c r="AE14" s="168" t="str">
        <f t="shared" ca="1" si="2"/>
        <v/>
      </c>
      <c r="AF14" s="168" t="str">
        <f t="shared" ca="1" si="2"/>
        <v/>
      </c>
      <c r="AG14" s="168" t="str">
        <f t="shared" ca="1" si="2"/>
        <v/>
      </c>
      <c r="AH14" s="168" t="str">
        <f t="shared" ca="1" si="2"/>
        <v/>
      </c>
      <c r="AI14" s="168" t="str">
        <f t="shared" ca="1" si="2"/>
        <v/>
      </c>
    </row>
    <row r="15" spans="1:35" ht="15" x14ac:dyDescent="0.3">
      <c r="A15" s="189">
        <v>11</v>
      </c>
      <c r="B15" s="189">
        <f ca="1">OFFSET('Matriz de Riesgos'!$F$14,H15,0)</f>
        <v>0</v>
      </c>
      <c r="C15" s="189">
        <f ca="1">OFFSET('Matriz de Riesgos'!$G$8,H15,0)</f>
        <v>0</v>
      </c>
      <c r="D15" s="190">
        <f ca="1">OFFSET('Matriz de Riesgos'!$V$14,H15,0)</f>
        <v>0</v>
      </c>
      <c r="E15" s="190">
        <f ca="1">OFFSET('Matriz de Riesgos'!$W$14,H15,0)</f>
        <v>0</v>
      </c>
      <c r="F15" s="191">
        <f t="shared" ca="1" si="3"/>
        <v>0</v>
      </c>
      <c r="G15" s="168" t="str">
        <f t="shared" ca="1" si="0"/>
        <v>00</v>
      </c>
      <c r="H15" s="168">
        <f t="shared" si="5"/>
        <v>110</v>
      </c>
      <c r="J15" s="201">
        <v>11</v>
      </c>
      <c r="K15" s="168" t="str">
        <f t="shared" ca="1" si="4"/>
        <v/>
      </c>
      <c r="L15" s="168" t="str">
        <f t="shared" ca="1" si="1"/>
        <v/>
      </c>
      <c r="M15" s="168" t="str">
        <f t="shared" ca="1" si="1"/>
        <v/>
      </c>
      <c r="N15" s="168" t="str">
        <f t="shared" ca="1" si="1"/>
        <v/>
      </c>
      <c r="O15" s="168" t="str">
        <f t="shared" ca="1" si="1"/>
        <v/>
      </c>
      <c r="P15" s="168" t="str">
        <f t="shared" ca="1" si="1"/>
        <v/>
      </c>
      <c r="Q15" s="168" t="str">
        <f t="shared" ca="1" si="1"/>
        <v/>
      </c>
      <c r="R15" s="168" t="str">
        <f t="shared" ca="1" si="1"/>
        <v/>
      </c>
      <c r="S15" s="168" t="str">
        <f t="shared" ca="1" si="1"/>
        <v/>
      </c>
      <c r="T15" s="168" t="str">
        <f t="shared" ca="1" si="2"/>
        <v/>
      </c>
      <c r="U15" s="168" t="str">
        <f t="shared" ca="1" si="2"/>
        <v/>
      </c>
      <c r="V15" s="168" t="str">
        <f t="shared" ca="1" si="2"/>
        <v/>
      </c>
      <c r="W15" s="168" t="str">
        <f t="shared" ca="1" si="2"/>
        <v/>
      </c>
      <c r="X15" s="168" t="str">
        <f t="shared" ca="1" si="2"/>
        <v/>
      </c>
      <c r="Y15" s="168" t="str">
        <f t="shared" ca="1" si="2"/>
        <v/>
      </c>
      <c r="Z15" s="168" t="str">
        <f t="shared" ca="1" si="2"/>
        <v/>
      </c>
      <c r="AA15" s="168" t="str">
        <f t="shared" ca="1" si="2"/>
        <v/>
      </c>
      <c r="AB15" s="168" t="str">
        <f t="shared" ca="1" si="2"/>
        <v/>
      </c>
      <c r="AC15" s="168" t="str">
        <f t="shared" ca="1" si="2"/>
        <v/>
      </c>
      <c r="AD15" s="168" t="str">
        <f t="shared" ca="1" si="2"/>
        <v/>
      </c>
      <c r="AE15" s="168" t="str">
        <f t="shared" ca="1" si="2"/>
        <v/>
      </c>
      <c r="AF15" s="168" t="str">
        <f t="shared" ca="1" si="2"/>
        <v/>
      </c>
      <c r="AG15" s="168" t="str">
        <f t="shared" ca="1" si="2"/>
        <v/>
      </c>
      <c r="AH15" s="168" t="str">
        <f t="shared" ca="1" si="2"/>
        <v/>
      </c>
      <c r="AI15" s="168" t="str">
        <f t="shared" ca="1" si="2"/>
        <v/>
      </c>
    </row>
    <row r="16" spans="1:35" ht="15" x14ac:dyDescent="0.3">
      <c r="A16" s="189">
        <v>12</v>
      </c>
      <c r="B16" s="189">
        <f ca="1">OFFSET('Matriz de Riesgos'!$F$14,H16,0)</f>
        <v>0</v>
      </c>
      <c r="C16" s="189">
        <f ca="1">OFFSET('Matriz de Riesgos'!$G$8,H16,0)</f>
        <v>0</v>
      </c>
      <c r="D16" s="190">
        <f ca="1">OFFSET('Matriz de Riesgos'!$V$14,H16,0)</f>
        <v>0</v>
      </c>
      <c r="E16" s="190">
        <f ca="1">OFFSET('Matriz de Riesgos'!$W$14,H16,0)</f>
        <v>0</v>
      </c>
      <c r="F16" s="191">
        <f t="shared" ca="1" si="3"/>
        <v>0</v>
      </c>
      <c r="G16" s="168" t="str">
        <f t="shared" ca="1" si="0"/>
        <v>00</v>
      </c>
      <c r="H16" s="168">
        <f t="shared" si="5"/>
        <v>121</v>
      </c>
      <c r="J16" s="201">
        <v>12</v>
      </c>
      <c r="K16" s="168" t="str">
        <f t="shared" ca="1" si="4"/>
        <v/>
      </c>
      <c r="L16" s="168" t="str">
        <f t="shared" ca="1" si="1"/>
        <v/>
      </c>
      <c r="M16" s="168" t="str">
        <f t="shared" ca="1" si="1"/>
        <v/>
      </c>
      <c r="N16" s="168" t="str">
        <f t="shared" ca="1" si="1"/>
        <v/>
      </c>
      <c r="O16" s="168" t="str">
        <f t="shared" ca="1" si="1"/>
        <v/>
      </c>
      <c r="P16" s="168" t="str">
        <f t="shared" ca="1" si="1"/>
        <v/>
      </c>
      <c r="Q16" s="168" t="str">
        <f t="shared" ca="1" si="1"/>
        <v/>
      </c>
      <c r="R16" s="168" t="str">
        <f t="shared" ca="1" si="1"/>
        <v/>
      </c>
      <c r="S16" s="168" t="str">
        <f t="shared" ca="1" si="1"/>
        <v/>
      </c>
      <c r="T16" s="168" t="str">
        <f t="shared" ca="1" si="2"/>
        <v/>
      </c>
      <c r="U16" s="168" t="str">
        <f t="shared" ca="1" si="2"/>
        <v/>
      </c>
      <c r="V16" s="168" t="str">
        <f t="shared" ca="1" si="2"/>
        <v/>
      </c>
      <c r="W16" s="168" t="str">
        <f t="shared" ca="1" si="2"/>
        <v/>
      </c>
      <c r="X16" s="168" t="str">
        <f t="shared" ca="1" si="2"/>
        <v/>
      </c>
      <c r="Y16" s="168" t="str">
        <f t="shared" ca="1" si="2"/>
        <v/>
      </c>
      <c r="Z16" s="168" t="str">
        <f t="shared" ca="1" si="2"/>
        <v/>
      </c>
      <c r="AA16" s="168" t="str">
        <f t="shared" ca="1" si="2"/>
        <v/>
      </c>
      <c r="AB16" s="168" t="str">
        <f t="shared" ca="1" si="2"/>
        <v/>
      </c>
      <c r="AC16" s="168" t="str">
        <f t="shared" ca="1" si="2"/>
        <v/>
      </c>
      <c r="AD16" s="168" t="str">
        <f t="shared" ca="1" si="2"/>
        <v/>
      </c>
      <c r="AE16" s="168" t="str">
        <f t="shared" ca="1" si="2"/>
        <v/>
      </c>
      <c r="AF16" s="168" t="str">
        <f t="shared" ca="1" si="2"/>
        <v/>
      </c>
      <c r="AG16" s="168" t="str">
        <f t="shared" ca="1" si="2"/>
        <v/>
      </c>
      <c r="AH16" s="168" t="str">
        <f t="shared" ca="1" si="2"/>
        <v/>
      </c>
      <c r="AI16" s="168" t="str">
        <f t="shared" ca="1" si="2"/>
        <v/>
      </c>
    </row>
    <row r="17" spans="1:35" ht="15" x14ac:dyDescent="0.3">
      <c r="A17" s="189">
        <v>13</v>
      </c>
      <c r="B17" s="189">
        <f ca="1">OFFSET('Matriz de Riesgos'!$F$14,H17,0)</f>
        <v>0</v>
      </c>
      <c r="C17" s="189">
        <f ca="1">OFFSET('Matriz de Riesgos'!$G$8,H17,0)</f>
        <v>0</v>
      </c>
      <c r="D17" s="190">
        <f ca="1">OFFSET('Matriz de Riesgos'!$V$14,H17,0)</f>
        <v>0</v>
      </c>
      <c r="E17" s="190">
        <f ca="1">OFFSET('Matriz de Riesgos'!$W$14,H17,0)</f>
        <v>0</v>
      </c>
      <c r="F17" s="191">
        <f t="shared" ca="1" si="3"/>
        <v>0</v>
      </c>
      <c r="G17" s="168" t="str">
        <f t="shared" ca="1" si="0"/>
        <v>00</v>
      </c>
      <c r="H17" s="168">
        <f t="shared" si="5"/>
        <v>132</v>
      </c>
      <c r="J17" s="201">
        <v>13</v>
      </c>
      <c r="K17" s="168" t="str">
        <f t="shared" ca="1" si="4"/>
        <v/>
      </c>
      <c r="L17" s="168" t="str">
        <f t="shared" ca="1" si="1"/>
        <v/>
      </c>
      <c r="M17" s="168" t="str">
        <f t="shared" ca="1" si="1"/>
        <v/>
      </c>
      <c r="N17" s="168" t="str">
        <f t="shared" ca="1" si="1"/>
        <v/>
      </c>
      <c r="O17" s="168" t="str">
        <f t="shared" ca="1" si="1"/>
        <v/>
      </c>
      <c r="P17" s="168" t="str">
        <f t="shared" ca="1" si="1"/>
        <v/>
      </c>
      <c r="Q17" s="168" t="str">
        <f t="shared" ca="1" si="1"/>
        <v/>
      </c>
      <c r="R17" s="168" t="str">
        <f t="shared" ca="1" si="1"/>
        <v/>
      </c>
      <c r="S17" s="168" t="str">
        <f t="shared" ca="1" si="1"/>
        <v/>
      </c>
      <c r="T17" s="168" t="str">
        <f t="shared" ca="1" si="2"/>
        <v/>
      </c>
      <c r="U17" s="168" t="str">
        <f t="shared" ca="1" si="2"/>
        <v/>
      </c>
      <c r="V17" s="168" t="str">
        <f t="shared" ca="1" si="2"/>
        <v/>
      </c>
      <c r="W17" s="168" t="str">
        <f t="shared" ca="1" si="2"/>
        <v/>
      </c>
      <c r="X17" s="168" t="str">
        <f t="shared" ca="1" si="2"/>
        <v/>
      </c>
      <c r="Y17" s="168" t="str">
        <f t="shared" ca="1" si="2"/>
        <v/>
      </c>
      <c r="Z17" s="168" t="str">
        <f t="shared" ca="1" si="2"/>
        <v/>
      </c>
      <c r="AA17" s="168" t="str">
        <f t="shared" ca="1" si="2"/>
        <v/>
      </c>
      <c r="AB17" s="168" t="str">
        <f t="shared" ca="1" si="2"/>
        <v/>
      </c>
      <c r="AC17" s="168" t="str">
        <f t="shared" ca="1" si="2"/>
        <v/>
      </c>
      <c r="AD17" s="168" t="str">
        <f t="shared" ca="1" si="2"/>
        <v/>
      </c>
      <c r="AE17" s="168" t="str">
        <f t="shared" ca="1" si="2"/>
        <v/>
      </c>
      <c r="AF17" s="168" t="str">
        <f t="shared" ca="1" si="2"/>
        <v/>
      </c>
      <c r="AG17" s="168" t="str">
        <f t="shared" ca="1" si="2"/>
        <v/>
      </c>
      <c r="AH17" s="168" t="str">
        <f t="shared" ca="1" si="2"/>
        <v/>
      </c>
      <c r="AI17" s="168" t="str">
        <f t="shared" ca="1" si="2"/>
        <v/>
      </c>
    </row>
    <row r="18" spans="1:35" ht="15" x14ac:dyDescent="0.3">
      <c r="A18" s="189">
        <v>14</v>
      </c>
      <c r="B18" s="189">
        <f ca="1">OFFSET('Matriz de Riesgos'!$F$14,H18,0)</f>
        <v>0</v>
      </c>
      <c r="C18" s="189">
        <f ca="1">OFFSET('Matriz de Riesgos'!$G$8,H18,0)</f>
        <v>0</v>
      </c>
      <c r="D18" s="190">
        <f ca="1">OFFSET('Matriz de Riesgos'!$V$14,H18,0)</f>
        <v>0</v>
      </c>
      <c r="E18" s="190">
        <f ca="1">OFFSET('Matriz de Riesgos'!$W$14,H18,0)</f>
        <v>0</v>
      </c>
      <c r="F18" s="191">
        <f t="shared" ca="1" si="3"/>
        <v>0</v>
      </c>
      <c r="G18" s="168" t="str">
        <f t="shared" ca="1" si="0"/>
        <v>00</v>
      </c>
      <c r="H18" s="168">
        <f t="shared" si="5"/>
        <v>143</v>
      </c>
      <c r="J18" s="201">
        <v>14</v>
      </c>
      <c r="K18" s="168" t="str">
        <f t="shared" ca="1" si="4"/>
        <v/>
      </c>
      <c r="L18" s="168" t="str">
        <f t="shared" ca="1" si="1"/>
        <v/>
      </c>
      <c r="M18" s="168" t="str">
        <f t="shared" ca="1" si="1"/>
        <v/>
      </c>
      <c r="N18" s="168" t="str">
        <f t="shared" ca="1" si="1"/>
        <v/>
      </c>
      <c r="O18" s="168" t="str">
        <f t="shared" ca="1" si="1"/>
        <v/>
      </c>
      <c r="P18" s="168" t="str">
        <f t="shared" ca="1" si="1"/>
        <v/>
      </c>
      <c r="Q18" s="168" t="str">
        <f t="shared" ca="1" si="1"/>
        <v/>
      </c>
      <c r="R18" s="168" t="str">
        <f t="shared" ca="1" si="1"/>
        <v/>
      </c>
      <c r="S18" s="168" t="str">
        <f t="shared" ca="1" si="1"/>
        <v/>
      </c>
      <c r="T18" s="168" t="str">
        <f t="shared" ca="1" si="2"/>
        <v/>
      </c>
      <c r="U18" s="168" t="str">
        <f t="shared" ca="1" si="2"/>
        <v/>
      </c>
      <c r="V18" s="168" t="str">
        <f t="shared" ca="1" si="2"/>
        <v/>
      </c>
      <c r="W18" s="168" t="str">
        <f t="shared" ca="1" si="2"/>
        <v/>
      </c>
      <c r="X18" s="168" t="str">
        <f t="shared" ca="1" si="2"/>
        <v/>
      </c>
      <c r="Y18" s="168" t="str">
        <f t="shared" ca="1" si="2"/>
        <v/>
      </c>
      <c r="Z18" s="168" t="str">
        <f t="shared" ca="1" si="2"/>
        <v/>
      </c>
      <c r="AA18" s="168" t="str">
        <f t="shared" ca="1" si="2"/>
        <v/>
      </c>
      <c r="AB18" s="168" t="str">
        <f t="shared" ca="1" si="2"/>
        <v/>
      </c>
      <c r="AC18" s="168" t="str">
        <f t="shared" ca="1" si="2"/>
        <v/>
      </c>
      <c r="AD18" s="168" t="str">
        <f t="shared" ca="1" si="2"/>
        <v/>
      </c>
      <c r="AE18" s="168" t="str">
        <f t="shared" ca="1" si="2"/>
        <v/>
      </c>
      <c r="AF18" s="168" t="str">
        <f t="shared" ca="1" si="2"/>
        <v/>
      </c>
      <c r="AG18" s="168" t="str">
        <f t="shared" ca="1" si="2"/>
        <v/>
      </c>
      <c r="AH18" s="168" t="str">
        <f t="shared" ca="1" si="2"/>
        <v/>
      </c>
      <c r="AI18" s="168" t="str">
        <f t="shared" ca="1" si="2"/>
        <v/>
      </c>
    </row>
    <row r="19" spans="1:35" ht="15" x14ac:dyDescent="0.3">
      <c r="A19" s="189">
        <v>15</v>
      </c>
      <c r="B19" s="189">
        <f ca="1">OFFSET('Matriz de Riesgos'!$F$14,H19,0)</f>
        <v>0</v>
      </c>
      <c r="C19" s="189">
        <f ca="1">OFFSET('Matriz de Riesgos'!$G$8,H19,0)</f>
        <v>0</v>
      </c>
      <c r="D19" s="190">
        <f ca="1">OFFSET('Matriz de Riesgos'!$V$14,H19,0)</f>
        <v>0</v>
      </c>
      <c r="E19" s="190">
        <f ca="1">OFFSET('Matriz de Riesgos'!$W$14,H19,0)</f>
        <v>0</v>
      </c>
      <c r="F19" s="191">
        <f t="shared" ca="1" si="3"/>
        <v>0</v>
      </c>
      <c r="G19" s="168" t="str">
        <f t="shared" ca="1" si="0"/>
        <v>00</v>
      </c>
      <c r="H19" s="168">
        <f t="shared" si="5"/>
        <v>154</v>
      </c>
      <c r="J19" s="201">
        <v>15</v>
      </c>
      <c r="K19" s="168" t="str">
        <f t="shared" ca="1" si="4"/>
        <v/>
      </c>
      <c r="L19" s="168" t="str">
        <f t="shared" ca="1" si="1"/>
        <v/>
      </c>
      <c r="M19" s="168" t="str">
        <f t="shared" ca="1" si="1"/>
        <v/>
      </c>
      <c r="N19" s="168" t="str">
        <f t="shared" ca="1" si="1"/>
        <v/>
      </c>
      <c r="O19" s="168" t="str">
        <f t="shared" ca="1" si="1"/>
        <v/>
      </c>
      <c r="P19" s="168" t="str">
        <f t="shared" ca="1" si="1"/>
        <v/>
      </c>
      <c r="Q19" s="168" t="str">
        <f t="shared" ca="1" si="1"/>
        <v/>
      </c>
      <c r="R19" s="168" t="str">
        <f t="shared" ca="1" si="1"/>
        <v/>
      </c>
      <c r="S19" s="168" t="str">
        <f t="shared" ca="1" si="1"/>
        <v/>
      </c>
      <c r="T19" s="168" t="str">
        <f t="shared" ca="1" si="2"/>
        <v/>
      </c>
      <c r="U19" s="168" t="str">
        <f t="shared" ca="1" si="2"/>
        <v/>
      </c>
      <c r="V19" s="168" t="str">
        <f t="shared" ca="1" si="2"/>
        <v/>
      </c>
      <c r="W19" s="168" t="str">
        <f t="shared" ca="1" si="2"/>
        <v/>
      </c>
      <c r="X19" s="168" t="str">
        <f t="shared" ca="1" si="2"/>
        <v/>
      </c>
      <c r="Y19" s="168" t="str">
        <f t="shared" ca="1" si="2"/>
        <v/>
      </c>
      <c r="Z19" s="168" t="str">
        <f t="shared" ca="1" si="2"/>
        <v/>
      </c>
      <c r="AA19" s="168" t="str">
        <f t="shared" ca="1" si="2"/>
        <v/>
      </c>
      <c r="AB19" s="168" t="str">
        <f t="shared" ca="1" si="2"/>
        <v/>
      </c>
      <c r="AC19" s="168" t="str">
        <f t="shared" ca="1" si="2"/>
        <v/>
      </c>
      <c r="AD19" s="168" t="str">
        <f t="shared" ca="1" si="2"/>
        <v/>
      </c>
      <c r="AE19" s="168" t="str">
        <f t="shared" ca="1" si="2"/>
        <v/>
      </c>
      <c r="AF19" s="168" t="str">
        <f t="shared" ca="1" si="2"/>
        <v/>
      </c>
      <c r="AG19" s="168" t="str">
        <f t="shared" ca="1" si="2"/>
        <v/>
      </c>
      <c r="AH19" s="168" t="str">
        <f t="shared" ca="1" si="2"/>
        <v/>
      </c>
      <c r="AI19" s="168" t="str">
        <f t="shared" ca="1" si="2"/>
        <v/>
      </c>
    </row>
    <row r="20" spans="1:35" ht="15" x14ac:dyDescent="0.3">
      <c r="A20" s="189">
        <v>16</v>
      </c>
      <c r="B20" s="189">
        <f ca="1">OFFSET('Matriz de Riesgos'!$F$14,H20,0)</f>
        <v>0</v>
      </c>
      <c r="C20" s="189">
        <f ca="1">OFFSET('Matriz de Riesgos'!$G$8,H20,0)</f>
        <v>0</v>
      </c>
      <c r="D20" s="190">
        <f ca="1">OFFSET('Matriz de Riesgos'!$V$14,H20,0)</f>
        <v>0</v>
      </c>
      <c r="E20" s="190">
        <f ca="1">OFFSET('Matriz de Riesgos'!$W$14,H20,0)</f>
        <v>0</v>
      </c>
      <c r="F20" s="191">
        <f t="shared" ca="1" si="3"/>
        <v>0</v>
      </c>
      <c r="G20" s="168" t="str">
        <f t="shared" ca="1" si="0"/>
        <v>00</v>
      </c>
      <c r="H20" s="168">
        <f t="shared" si="5"/>
        <v>165</v>
      </c>
      <c r="J20" s="201">
        <v>16</v>
      </c>
      <c r="K20" s="168" t="str">
        <f t="shared" ca="1" si="4"/>
        <v/>
      </c>
      <c r="L20" s="168" t="str">
        <f t="shared" ca="1" si="1"/>
        <v/>
      </c>
      <c r="M20" s="168" t="str">
        <f t="shared" ca="1" si="1"/>
        <v/>
      </c>
      <c r="N20" s="168" t="str">
        <f t="shared" ca="1" si="1"/>
        <v/>
      </c>
      <c r="O20" s="168" t="str">
        <f t="shared" ca="1" si="1"/>
        <v/>
      </c>
      <c r="P20" s="168" t="str">
        <f t="shared" ca="1" si="1"/>
        <v/>
      </c>
      <c r="Q20" s="168" t="str">
        <f t="shared" ca="1" si="1"/>
        <v/>
      </c>
      <c r="R20" s="168" t="str">
        <f t="shared" ca="1" si="1"/>
        <v/>
      </c>
      <c r="S20" s="168" t="str">
        <f t="shared" ca="1" si="1"/>
        <v/>
      </c>
      <c r="T20" s="168" t="str">
        <f t="shared" ca="1" si="2"/>
        <v/>
      </c>
      <c r="U20" s="168" t="str">
        <f t="shared" ca="1" si="2"/>
        <v/>
      </c>
      <c r="V20" s="168" t="str">
        <f t="shared" ca="1" si="2"/>
        <v/>
      </c>
      <c r="W20" s="168" t="str">
        <f t="shared" ca="1" si="2"/>
        <v/>
      </c>
      <c r="X20" s="168" t="str">
        <f t="shared" ca="1" si="2"/>
        <v/>
      </c>
      <c r="Y20" s="168" t="str">
        <f t="shared" ca="1" si="2"/>
        <v/>
      </c>
      <c r="Z20" s="168" t="str">
        <f t="shared" ca="1" si="2"/>
        <v/>
      </c>
      <c r="AA20" s="168" t="str">
        <f t="shared" ca="1" si="2"/>
        <v/>
      </c>
      <c r="AB20" s="168" t="str">
        <f t="shared" ca="1" si="2"/>
        <v/>
      </c>
      <c r="AC20" s="168" t="str">
        <f t="shared" ca="1" si="2"/>
        <v/>
      </c>
      <c r="AD20" s="168" t="str">
        <f t="shared" ca="1" si="2"/>
        <v/>
      </c>
      <c r="AE20" s="168" t="str">
        <f t="shared" ca="1" si="2"/>
        <v/>
      </c>
      <c r="AF20" s="168" t="str">
        <f t="shared" ca="1" si="2"/>
        <v/>
      </c>
      <c r="AG20" s="168" t="str">
        <f t="shared" ca="1" si="2"/>
        <v/>
      </c>
      <c r="AH20" s="168" t="str">
        <f t="shared" ca="1" si="2"/>
        <v/>
      </c>
      <c r="AI20" s="168" t="str">
        <f t="shared" ca="1" si="2"/>
        <v/>
      </c>
    </row>
    <row r="21" spans="1:35" ht="15" x14ac:dyDescent="0.3">
      <c r="A21" s="189">
        <v>17</v>
      </c>
      <c r="B21" s="189">
        <f ca="1">OFFSET('Matriz de Riesgos'!$F$14,H21,0)</f>
        <v>0</v>
      </c>
      <c r="C21" s="189">
        <f ca="1">OFFSET('Matriz de Riesgos'!$G$8,H21,0)</f>
        <v>0</v>
      </c>
      <c r="D21" s="190">
        <f ca="1">OFFSET('Matriz de Riesgos'!$V$14,H21,0)</f>
        <v>0</v>
      </c>
      <c r="E21" s="190">
        <f ca="1">OFFSET('Matriz de Riesgos'!$W$14,H21,0)</f>
        <v>0</v>
      </c>
      <c r="F21" s="191">
        <f t="shared" ca="1" si="3"/>
        <v>0</v>
      </c>
      <c r="G21" s="168" t="str">
        <f t="shared" ca="1" si="0"/>
        <v>00</v>
      </c>
      <c r="H21" s="168">
        <f t="shared" si="5"/>
        <v>176</v>
      </c>
      <c r="J21" s="201">
        <v>17</v>
      </c>
      <c r="K21" s="168" t="str">
        <f t="shared" ca="1" si="4"/>
        <v/>
      </c>
      <c r="L21" s="168" t="str">
        <f t="shared" ca="1" si="4"/>
        <v/>
      </c>
      <c r="M21" s="168" t="str">
        <f t="shared" ca="1" si="4"/>
        <v/>
      </c>
      <c r="N21" s="168" t="str">
        <f t="shared" ca="1" si="4"/>
        <v/>
      </c>
      <c r="O21" s="168" t="str">
        <f t="shared" ca="1" si="4"/>
        <v/>
      </c>
      <c r="P21" s="168" t="str">
        <f t="shared" ca="1" si="4"/>
        <v/>
      </c>
      <c r="Q21" s="168" t="str">
        <f t="shared" ca="1" si="4"/>
        <v/>
      </c>
      <c r="R21" s="168" t="str">
        <f t="shared" ca="1" si="4"/>
        <v/>
      </c>
      <c r="S21" s="168" t="str">
        <f t="shared" ca="1" si="4"/>
        <v/>
      </c>
      <c r="T21" s="168" t="str">
        <f t="shared" ca="1" si="4"/>
        <v/>
      </c>
      <c r="U21" s="168" t="str">
        <f t="shared" ca="1" si="4"/>
        <v/>
      </c>
      <c r="V21" s="168" t="str">
        <f t="shared" ca="1" si="4"/>
        <v/>
      </c>
      <c r="W21" s="168" t="str">
        <f t="shared" ca="1" si="4"/>
        <v/>
      </c>
      <c r="X21" s="168" t="str">
        <f t="shared" ca="1" si="4"/>
        <v/>
      </c>
      <c r="Y21" s="168" t="str">
        <f t="shared" ca="1" si="4"/>
        <v/>
      </c>
      <c r="Z21" s="168" t="str">
        <f t="shared" ca="1" si="4"/>
        <v/>
      </c>
      <c r="AA21" s="168" t="str">
        <f t="shared" ref="T21:AI36" ca="1" si="6">IF($G21=AA$4,$B21&amp;";","")</f>
        <v/>
      </c>
      <c r="AB21" s="168" t="str">
        <f t="shared" ca="1" si="6"/>
        <v/>
      </c>
      <c r="AC21" s="168" t="str">
        <f t="shared" ca="1" si="6"/>
        <v/>
      </c>
      <c r="AD21" s="168" t="str">
        <f t="shared" ca="1" si="6"/>
        <v/>
      </c>
      <c r="AE21" s="168" t="str">
        <f t="shared" ca="1" si="6"/>
        <v/>
      </c>
      <c r="AF21" s="168" t="str">
        <f t="shared" ca="1" si="6"/>
        <v/>
      </c>
      <c r="AG21" s="168" t="str">
        <f t="shared" ca="1" si="6"/>
        <v/>
      </c>
      <c r="AH21" s="168" t="str">
        <f t="shared" ca="1" si="6"/>
        <v/>
      </c>
      <c r="AI21" s="168" t="str">
        <f t="shared" ca="1" si="6"/>
        <v/>
      </c>
    </row>
    <row r="22" spans="1:35" ht="15" x14ac:dyDescent="0.3">
      <c r="A22" s="189">
        <v>18</v>
      </c>
      <c r="B22" s="189">
        <f ca="1">OFFSET('Matriz de Riesgos'!$F$14,H22,0)</f>
        <v>0</v>
      </c>
      <c r="C22" s="189">
        <f ca="1">OFFSET('Matriz de Riesgos'!$G$8,H22,0)</f>
        <v>0</v>
      </c>
      <c r="D22" s="190">
        <f ca="1">OFFSET('Matriz de Riesgos'!$V$14,H22,0)</f>
        <v>0</v>
      </c>
      <c r="E22" s="190">
        <f ca="1">OFFSET('Matriz de Riesgos'!$W$14,H22,0)</f>
        <v>0</v>
      </c>
      <c r="F22" s="191">
        <f t="shared" ca="1" si="3"/>
        <v>0</v>
      </c>
      <c r="G22" s="168" t="str">
        <f t="shared" ca="1" si="0"/>
        <v>00</v>
      </c>
      <c r="H22" s="168">
        <f t="shared" si="5"/>
        <v>187</v>
      </c>
      <c r="J22" s="201">
        <v>18</v>
      </c>
      <c r="K22" s="168" t="str">
        <f t="shared" ref="K22:Z37" ca="1" si="7">IF($G22=K$4,$B22&amp;";","")</f>
        <v/>
      </c>
      <c r="L22" s="168" t="str">
        <f t="shared" ca="1" si="7"/>
        <v/>
      </c>
      <c r="M22" s="168" t="str">
        <f t="shared" ca="1" si="7"/>
        <v/>
      </c>
      <c r="N22" s="168" t="str">
        <f t="shared" ca="1" si="7"/>
        <v/>
      </c>
      <c r="O22" s="168" t="str">
        <f t="shared" ca="1" si="7"/>
        <v/>
      </c>
      <c r="P22" s="168" t="str">
        <f t="shared" ca="1" si="7"/>
        <v/>
      </c>
      <c r="Q22" s="168" t="str">
        <f t="shared" ca="1" si="7"/>
        <v/>
      </c>
      <c r="R22" s="168" t="str">
        <f t="shared" ca="1" si="7"/>
        <v/>
      </c>
      <c r="S22" s="168" t="str">
        <f t="shared" ca="1" si="7"/>
        <v/>
      </c>
      <c r="T22" s="168" t="str">
        <f t="shared" ca="1" si="7"/>
        <v/>
      </c>
      <c r="U22" s="168" t="str">
        <f t="shared" ca="1" si="7"/>
        <v/>
      </c>
      <c r="V22" s="168" t="str">
        <f t="shared" ca="1" si="7"/>
        <v/>
      </c>
      <c r="W22" s="168" t="str">
        <f t="shared" ca="1" si="7"/>
        <v/>
      </c>
      <c r="X22" s="168" t="str">
        <f t="shared" ca="1" si="7"/>
        <v/>
      </c>
      <c r="Y22" s="168" t="str">
        <f t="shared" ca="1" si="7"/>
        <v/>
      </c>
      <c r="Z22" s="168" t="str">
        <f t="shared" ca="1" si="7"/>
        <v/>
      </c>
      <c r="AA22" s="168" t="str">
        <f t="shared" ca="1" si="6"/>
        <v/>
      </c>
      <c r="AB22" s="168" t="str">
        <f t="shared" ca="1" si="6"/>
        <v/>
      </c>
      <c r="AC22" s="168" t="str">
        <f t="shared" ca="1" si="6"/>
        <v/>
      </c>
      <c r="AD22" s="168" t="str">
        <f t="shared" ca="1" si="6"/>
        <v/>
      </c>
      <c r="AE22" s="168" t="str">
        <f t="shared" ca="1" si="6"/>
        <v/>
      </c>
      <c r="AF22" s="168" t="str">
        <f t="shared" ca="1" si="6"/>
        <v/>
      </c>
      <c r="AG22" s="168" t="str">
        <f t="shared" ca="1" si="6"/>
        <v/>
      </c>
      <c r="AH22" s="168" t="str">
        <f t="shared" ca="1" si="6"/>
        <v/>
      </c>
      <c r="AI22" s="168" t="str">
        <f t="shared" ca="1" si="6"/>
        <v/>
      </c>
    </row>
    <row r="23" spans="1:35" ht="15" x14ac:dyDescent="0.3">
      <c r="A23" s="189">
        <v>19</v>
      </c>
      <c r="B23" s="189">
        <f ca="1">OFFSET('Matriz de Riesgos'!$F$14,H23,0)</f>
        <v>0</v>
      </c>
      <c r="C23" s="189">
        <f ca="1">OFFSET('Matriz de Riesgos'!$G$8,H23,0)</f>
        <v>0</v>
      </c>
      <c r="D23" s="190">
        <f ca="1">OFFSET('Matriz de Riesgos'!$V$14,H23,0)</f>
        <v>0</v>
      </c>
      <c r="E23" s="190">
        <f ca="1">OFFSET('Matriz de Riesgos'!$W$14,H23,0)</f>
        <v>0</v>
      </c>
      <c r="F23" s="191">
        <f t="shared" ca="1" si="3"/>
        <v>0</v>
      </c>
      <c r="G23" s="168" t="str">
        <f t="shared" ca="1" si="0"/>
        <v>00</v>
      </c>
      <c r="H23" s="168">
        <f t="shared" si="5"/>
        <v>198</v>
      </c>
      <c r="J23" s="201">
        <v>19</v>
      </c>
      <c r="K23" s="168" t="str">
        <f t="shared" ca="1" si="7"/>
        <v/>
      </c>
      <c r="L23" s="168" t="str">
        <f t="shared" ca="1" si="7"/>
        <v/>
      </c>
      <c r="M23" s="168" t="str">
        <f t="shared" ca="1" si="7"/>
        <v/>
      </c>
      <c r="N23" s="168" t="str">
        <f t="shared" ca="1" si="7"/>
        <v/>
      </c>
      <c r="O23" s="168" t="str">
        <f t="shared" ca="1" si="7"/>
        <v/>
      </c>
      <c r="P23" s="168" t="str">
        <f t="shared" ca="1" si="7"/>
        <v/>
      </c>
      <c r="Q23" s="168" t="str">
        <f t="shared" ca="1" si="7"/>
        <v/>
      </c>
      <c r="R23" s="168" t="str">
        <f t="shared" ca="1" si="7"/>
        <v/>
      </c>
      <c r="S23" s="168" t="str">
        <f t="shared" ca="1" si="7"/>
        <v/>
      </c>
      <c r="T23" s="168" t="str">
        <f t="shared" ca="1" si="6"/>
        <v/>
      </c>
      <c r="U23" s="168" t="str">
        <f t="shared" ca="1" si="6"/>
        <v/>
      </c>
      <c r="V23" s="168" t="str">
        <f t="shared" ca="1" si="6"/>
        <v/>
      </c>
      <c r="W23" s="168" t="str">
        <f t="shared" ca="1" si="6"/>
        <v/>
      </c>
      <c r="X23" s="168" t="str">
        <f t="shared" ca="1" si="6"/>
        <v/>
      </c>
      <c r="Y23" s="168" t="str">
        <f t="shared" ca="1" si="6"/>
        <v/>
      </c>
      <c r="Z23" s="168" t="str">
        <f t="shared" ca="1" si="6"/>
        <v/>
      </c>
      <c r="AA23" s="168" t="str">
        <f t="shared" ca="1" si="6"/>
        <v/>
      </c>
      <c r="AB23" s="168" t="str">
        <f t="shared" ca="1" si="6"/>
        <v/>
      </c>
      <c r="AC23" s="168" t="str">
        <f t="shared" ca="1" si="6"/>
        <v/>
      </c>
      <c r="AD23" s="168" t="str">
        <f t="shared" ca="1" si="6"/>
        <v/>
      </c>
      <c r="AE23" s="168" t="str">
        <f t="shared" ca="1" si="6"/>
        <v/>
      </c>
      <c r="AF23" s="168" t="str">
        <f t="shared" ca="1" si="6"/>
        <v/>
      </c>
      <c r="AG23" s="168" t="str">
        <f t="shared" ca="1" si="6"/>
        <v/>
      </c>
      <c r="AH23" s="168" t="str">
        <f t="shared" ca="1" si="6"/>
        <v/>
      </c>
      <c r="AI23" s="168" t="str">
        <f t="shared" ca="1" si="6"/>
        <v/>
      </c>
    </row>
    <row r="24" spans="1:35" ht="15" x14ac:dyDescent="0.3">
      <c r="A24" s="189">
        <v>20</v>
      </c>
      <c r="B24" s="189">
        <f ca="1">OFFSET('Matriz de Riesgos'!$F$14,H24,0)</f>
        <v>0</v>
      </c>
      <c r="C24" s="189">
        <f ca="1">OFFSET('Matriz de Riesgos'!$G$8,H24,0)</f>
        <v>0</v>
      </c>
      <c r="D24" s="190">
        <f ca="1">OFFSET('Matriz de Riesgos'!$V$14,H24,0)</f>
        <v>0</v>
      </c>
      <c r="E24" s="190">
        <f ca="1">OFFSET('Matriz de Riesgos'!$W$14,H24,0)</f>
        <v>0</v>
      </c>
      <c r="F24" s="191">
        <f t="shared" ca="1" si="3"/>
        <v>0</v>
      </c>
      <c r="G24" s="168" t="str">
        <f t="shared" ca="1" si="0"/>
        <v>00</v>
      </c>
      <c r="H24" s="168">
        <f t="shared" si="5"/>
        <v>209</v>
      </c>
      <c r="J24" s="201">
        <v>20</v>
      </c>
      <c r="K24" s="168" t="str">
        <f t="shared" ca="1" si="7"/>
        <v/>
      </c>
      <c r="L24" s="168" t="str">
        <f t="shared" ca="1" si="7"/>
        <v/>
      </c>
      <c r="M24" s="168" t="str">
        <f t="shared" ca="1" si="7"/>
        <v/>
      </c>
      <c r="N24" s="168" t="str">
        <f t="shared" ca="1" si="7"/>
        <v/>
      </c>
      <c r="O24" s="168" t="str">
        <f t="shared" ca="1" si="7"/>
        <v/>
      </c>
      <c r="P24" s="168" t="str">
        <f t="shared" ca="1" si="7"/>
        <v/>
      </c>
      <c r="Q24" s="168" t="str">
        <f t="shared" ca="1" si="7"/>
        <v/>
      </c>
      <c r="R24" s="168" t="str">
        <f t="shared" ca="1" si="7"/>
        <v/>
      </c>
      <c r="S24" s="168" t="str">
        <f t="shared" ca="1" si="7"/>
        <v/>
      </c>
      <c r="T24" s="168" t="str">
        <f t="shared" ca="1" si="6"/>
        <v/>
      </c>
      <c r="U24" s="168" t="str">
        <f t="shared" ca="1" si="6"/>
        <v/>
      </c>
      <c r="V24" s="168" t="str">
        <f t="shared" ca="1" si="6"/>
        <v/>
      </c>
      <c r="W24" s="168" t="str">
        <f t="shared" ca="1" si="6"/>
        <v/>
      </c>
      <c r="X24" s="168" t="str">
        <f t="shared" ca="1" si="6"/>
        <v/>
      </c>
      <c r="Y24" s="168" t="str">
        <f t="shared" ca="1" si="6"/>
        <v/>
      </c>
      <c r="Z24" s="168" t="str">
        <f t="shared" ca="1" si="6"/>
        <v/>
      </c>
      <c r="AA24" s="168" t="str">
        <f t="shared" ca="1" si="6"/>
        <v/>
      </c>
      <c r="AB24" s="168" t="str">
        <f t="shared" ca="1" si="6"/>
        <v/>
      </c>
      <c r="AC24" s="168" t="str">
        <f t="shared" ca="1" si="6"/>
        <v/>
      </c>
      <c r="AD24" s="168" t="str">
        <f t="shared" ca="1" si="6"/>
        <v/>
      </c>
      <c r="AE24" s="168" t="str">
        <f t="shared" ca="1" si="6"/>
        <v/>
      </c>
      <c r="AF24" s="168" t="str">
        <f t="shared" ca="1" si="6"/>
        <v/>
      </c>
      <c r="AG24" s="168" t="str">
        <f t="shared" ca="1" si="6"/>
        <v/>
      </c>
      <c r="AH24" s="168" t="str">
        <f t="shared" ca="1" si="6"/>
        <v/>
      </c>
      <c r="AI24" s="168" t="str">
        <f t="shared" ca="1" si="6"/>
        <v/>
      </c>
    </row>
    <row r="25" spans="1:35" ht="15" x14ac:dyDescent="0.3">
      <c r="A25" s="189">
        <v>21</v>
      </c>
      <c r="B25" s="189">
        <f ca="1">OFFSET('Matriz de Riesgos'!$F$14,H25,0)</f>
        <v>0</v>
      </c>
      <c r="C25" s="189">
        <f ca="1">OFFSET('Matriz de Riesgos'!$G$8,H25,0)</f>
        <v>0</v>
      </c>
      <c r="D25" s="190">
        <f ca="1">OFFSET('Matriz de Riesgos'!$V$14,H25,0)</f>
        <v>0</v>
      </c>
      <c r="E25" s="190">
        <f ca="1">OFFSET('Matriz de Riesgos'!$W$14,H25,0)</f>
        <v>0</v>
      </c>
      <c r="F25" s="191">
        <f t="shared" ca="1" si="3"/>
        <v>0</v>
      </c>
      <c r="G25" s="168" t="str">
        <f t="shared" ca="1" si="0"/>
        <v>00</v>
      </c>
      <c r="H25" s="168">
        <f t="shared" si="5"/>
        <v>220</v>
      </c>
      <c r="J25" s="201">
        <v>21</v>
      </c>
      <c r="K25" s="168" t="str">
        <f t="shared" ca="1" si="7"/>
        <v/>
      </c>
      <c r="L25" s="168" t="str">
        <f t="shared" ca="1" si="7"/>
        <v/>
      </c>
      <c r="M25" s="168" t="str">
        <f t="shared" ca="1" si="7"/>
        <v/>
      </c>
      <c r="N25" s="168" t="str">
        <f t="shared" ca="1" si="7"/>
        <v/>
      </c>
      <c r="O25" s="168" t="str">
        <f t="shared" ca="1" si="7"/>
        <v/>
      </c>
      <c r="P25" s="168" t="str">
        <f t="shared" ca="1" si="7"/>
        <v/>
      </c>
      <c r="Q25" s="168" t="str">
        <f t="shared" ca="1" si="7"/>
        <v/>
      </c>
      <c r="R25" s="168" t="str">
        <f t="shared" ca="1" si="7"/>
        <v/>
      </c>
      <c r="S25" s="168" t="str">
        <f t="shared" ca="1" si="7"/>
        <v/>
      </c>
      <c r="T25" s="168" t="str">
        <f t="shared" ca="1" si="6"/>
        <v/>
      </c>
      <c r="U25" s="168" t="str">
        <f t="shared" ca="1" si="6"/>
        <v/>
      </c>
      <c r="V25" s="168" t="str">
        <f t="shared" ca="1" si="6"/>
        <v/>
      </c>
      <c r="W25" s="168" t="str">
        <f t="shared" ca="1" si="6"/>
        <v/>
      </c>
      <c r="X25" s="168" t="str">
        <f t="shared" ca="1" si="6"/>
        <v/>
      </c>
      <c r="Y25" s="168" t="str">
        <f t="shared" ca="1" si="6"/>
        <v/>
      </c>
      <c r="Z25" s="168" t="str">
        <f t="shared" ca="1" si="6"/>
        <v/>
      </c>
      <c r="AA25" s="168" t="str">
        <f t="shared" ca="1" si="6"/>
        <v/>
      </c>
      <c r="AB25" s="168" t="str">
        <f t="shared" ca="1" si="6"/>
        <v/>
      </c>
      <c r="AC25" s="168" t="str">
        <f t="shared" ca="1" si="6"/>
        <v/>
      </c>
      <c r="AD25" s="168" t="str">
        <f t="shared" ca="1" si="6"/>
        <v/>
      </c>
      <c r="AE25" s="168" t="str">
        <f t="shared" ca="1" si="6"/>
        <v/>
      </c>
      <c r="AF25" s="168" t="str">
        <f t="shared" ca="1" si="6"/>
        <v/>
      </c>
      <c r="AG25" s="168" t="str">
        <f t="shared" ca="1" si="6"/>
        <v/>
      </c>
      <c r="AH25" s="168" t="str">
        <f t="shared" ca="1" si="6"/>
        <v/>
      </c>
      <c r="AI25" s="168" t="str">
        <f t="shared" ca="1" si="6"/>
        <v/>
      </c>
    </row>
    <row r="26" spans="1:35" ht="15" x14ac:dyDescent="0.3">
      <c r="A26" s="189">
        <v>22</v>
      </c>
      <c r="B26" s="189">
        <f ca="1">OFFSET('Matriz de Riesgos'!$F$14,H26,0)</f>
        <v>0</v>
      </c>
      <c r="C26" s="189">
        <f ca="1">OFFSET('Matriz de Riesgos'!$G$8,H26,0)</f>
        <v>0</v>
      </c>
      <c r="D26" s="190">
        <f ca="1">OFFSET('Matriz de Riesgos'!$V$14,H26,0)</f>
        <v>0</v>
      </c>
      <c r="E26" s="190">
        <f ca="1">OFFSET('Matriz de Riesgos'!$W$14,H26,0)</f>
        <v>0</v>
      </c>
      <c r="F26" s="191">
        <f t="shared" ca="1" si="3"/>
        <v>0</v>
      </c>
      <c r="G26" s="168" t="str">
        <f t="shared" ca="1" si="0"/>
        <v>00</v>
      </c>
      <c r="H26" s="168">
        <f t="shared" si="5"/>
        <v>231</v>
      </c>
      <c r="J26" s="201">
        <v>22</v>
      </c>
      <c r="K26" s="168" t="str">
        <f t="shared" ca="1" si="7"/>
        <v/>
      </c>
      <c r="L26" s="168" t="str">
        <f t="shared" ca="1" si="7"/>
        <v/>
      </c>
      <c r="M26" s="168" t="str">
        <f t="shared" ca="1" si="7"/>
        <v/>
      </c>
      <c r="N26" s="168" t="str">
        <f t="shared" ca="1" si="7"/>
        <v/>
      </c>
      <c r="O26" s="168" t="str">
        <f t="shared" ca="1" si="7"/>
        <v/>
      </c>
      <c r="P26" s="168" t="str">
        <f t="shared" ca="1" si="7"/>
        <v/>
      </c>
      <c r="Q26" s="168" t="str">
        <f t="shared" ca="1" si="7"/>
        <v/>
      </c>
      <c r="R26" s="168" t="str">
        <f t="shared" ca="1" si="7"/>
        <v/>
      </c>
      <c r="S26" s="168" t="str">
        <f t="shared" ca="1" si="7"/>
        <v/>
      </c>
      <c r="T26" s="168" t="str">
        <f t="shared" ca="1" si="6"/>
        <v/>
      </c>
      <c r="U26" s="168" t="str">
        <f t="shared" ca="1" si="6"/>
        <v/>
      </c>
      <c r="V26" s="168" t="str">
        <f t="shared" ca="1" si="6"/>
        <v/>
      </c>
      <c r="W26" s="168" t="str">
        <f t="shared" ca="1" si="6"/>
        <v/>
      </c>
      <c r="X26" s="168" t="str">
        <f t="shared" ca="1" si="6"/>
        <v/>
      </c>
      <c r="Y26" s="168" t="str">
        <f t="shared" ca="1" si="6"/>
        <v/>
      </c>
      <c r="Z26" s="168" t="str">
        <f t="shared" ca="1" si="6"/>
        <v/>
      </c>
      <c r="AA26" s="168" t="str">
        <f t="shared" ca="1" si="6"/>
        <v/>
      </c>
      <c r="AB26" s="168" t="str">
        <f t="shared" ca="1" si="6"/>
        <v/>
      </c>
      <c r="AC26" s="168" t="str">
        <f t="shared" ca="1" si="6"/>
        <v/>
      </c>
      <c r="AD26" s="168" t="str">
        <f t="shared" ca="1" si="6"/>
        <v/>
      </c>
      <c r="AE26" s="168" t="str">
        <f t="shared" ca="1" si="6"/>
        <v/>
      </c>
      <c r="AF26" s="168" t="str">
        <f t="shared" ca="1" si="6"/>
        <v/>
      </c>
      <c r="AG26" s="168" t="str">
        <f t="shared" ca="1" si="6"/>
        <v/>
      </c>
      <c r="AH26" s="168" t="str">
        <f t="shared" ca="1" si="6"/>
        <v/>
      </c>
      <c r="AI26" s="168" t="str">
        <f t="shared" ca="1" si="6"/>
        <v/>
      </c>
    </row>
    <row r="27" spans="1:35" ht="15" x14ac:dyDescent="0.3">
      <c r="A27" s="189">
        <v>23</v>
      </c>
      <c r="B27" s="189">
        <f ca="1">OFFSET('Matriz de Riesgos'!$F$14,H27,0)</f>
        <v>0</v>
      </c>
      <c r="C27" s="189">
        <f ca="1">OFFSET('Matriz de Riesgos'!$G$8,H27,0)</f>
        <v>0</v>
      </c>
      <c r="D27" s="190">
        <f ca="1">OFFSET('Matriz de Riesgos'!$V$14,H27,0)</f>
        <v>0</v>
      </c>
      <c r="E27" s="190">
        <f ca="1">OFFSET('Matriz de Riesgos'!$W$14,H27,0)</f>
        <v>0</v>
      </c>
      <c r="F27" s="191">
        <f t="shared" ca="1" si="3"/>
        <v>0</v>
      </c>
      <c r="G27" s="168" t="str">
        <f t="shared" ca="1" si="0"/>
        <v>00</v>
      </c>
      <c r="H27" s="168">
        <f t="shared" si="5"/>
        <v>242</v>
      </c>
      <c r="J27" s="201">
        <v>23</v>
      </c>
      <c r="K27" s="168" t="str">
        <f t="shared" ca="1" si="7"/>
        <v/>
      </c>
      <c r="L27" s="168" t="str">
        <f t="shared" ca="1" si="7"/>
        <v/>
      </c>
      <c r="M27" s="168" t="str">
        <f t="shared" ca="1" si="7"/>
        <v/>
      </c>
      <c r="N27" s="168" t="str">
        <f t="shared" ca="1" si="7"/>
        <v/>
      </c>
      <c r="O27" s="168" t="str">
        <f t="shared" ca="1" si="7"/>
        <v/>
      </c>
      <c r="P27" s="168" t="str">
        <f t="shared" ca="1" si="7"/>
        <v/>
      </c>
      <c r="Q27" s="168" t="str">
        <f t="shared" ca="1" si="7"/>
        <v/>
      </c>
      <c r="R27" s="168" t="str">
        <f t="shared" ca="1" si="7"/>
        <v/>
      </c>
      <c r="S27" s="168" t="str">
        <f t="shared" ca="1" si="7"/>
        <v/>
      </c>
      <c r="T27" s="168" t="str">
        <f t="shared" ca="1" si="6"/>
        <v/>
      </c>
      <c r="U27" s="168" t="str">
        <f t="shared" ca="1" si="6"/>
        <v/>
      </c>
      <c r="V27" s="168" t="str">
        <f t="shared" ca="1" si="6"/>
        <v/>
      </c>
      <c r="W27" s="168" t="str">
        <f t="shared" ca="1" si="6"/>
        <v/>
      </c>
      <c r="X27" s="168" t="str">
        <f t="shared" ca="1" si="6"/>
        <v/>
      </c>
      <c r="Y27" s="168" t="str">
        <f t="shared" ca="1" si="6"/>
        <v/>
      </c>
      <c r="Z27" s="168" t="str">
        <f t="shared" ca="1" si="6"/>
        <v/>
      </c>
      <c r="AA27" s="168" t="str">
        <f t="shared" ca="1" si="6"/>
        <v/>
      </c>
      <c r="AB27" s="168" t="str">
        <f t="shared" ca="1" si="6"/>
        <v/>
      </c>
      <c r="AC27" s="168" t="str">
        <f t="shared" ca="1" si="6"/>
        <v/>
      </c>
      <c r="AD27" s="168" t="str">
        <f t="shared" ca="1" si="6"/>
        <v/>
      </c>
      <c r="AE27" s="168" t="str">
        <f t="shared" ca="1" si="6"/>
        <v/>
      </c>
      <c r="AF27" s="168" t="str">
        <f t="shared" ca="1" si="6"/>
        <v/>
      </c>
      <c r="AG27" s="168" t="str">
        <f t="shared" ca="1" si="6"/>
        <v/>
      </c>
      <c r="AH27" s="168" t="str">
        <f t="shared" ca="1" si="6"/>
        <v/>
      </c>
      <c r="AI27" s="168" t="str">
        <f t="shared" ca="1" si="6"/>
        <v/>
      </c>
    </row>
    <row r="28" spans="1:35" ht="15" x14ac:dyDescent="0.3">
      <c r="A28" s="189">
        <v>24</v>
      </c>
      <c r="B28" s="189">
        <f ca="1">OFFSET('Matriz de Riesgos'!$F$14,H28,0)</f>
        <v>0</v>
      </c>
      <c r="C28" s="189">
        <f ca="1">OFFSET('Matriz de Riesgos'!$G$8,H28,0)</f>
        <v>0</v>
      </c>
      <c r="D28" s="190">
        <f ca="1">OFFSET('Matriz de Riesgos'!$V$14,H28,0)</f>
        <v>0</v>
      </c>
      <c r="E28" s="190">
        <f ca="1">OFFSET('Matriz de Riesgos'!$W$14,H28,0)</f>
        <v>0</v>
      </c>
      <c r="F28" s="191">
        <f t="shared" ca="1" si="3"/>
        <v>0</v>
      </c>
      <c r="G28" s="168" t="str">
        <f t="shared" ca="1" si="0"/>
        <v>00</v>
      </c>
      <c r="H28" s="168">
        <f t="shared" si="5"/>
        <v>253</v>
      </c>
      <c r="J28" s="201">
        <v>24</v>
      </c>
      <c r="K28" s="168" t="str">
        <f t="shared" ca="1" si="7"/>
        <v/>
      </c>
      <c r="L28" s="168" t="str">
        <f t="shared" ca="1" si="7"/>
        <v/>
      </c>
      <c r="M28" s="168" t="str">
        <f t="shared" ca="1" si="7"/>
        <v/>
      </c>
      <c r="N28" s="168" t="str">
        <f t="shared" ca="1" si="7"/>
        <v/>
      </c>
      <c r="O28" s="168" t="str">
        <f t="shared" ca="1" si="7"/>
        <v/>
      </c>
      <c r="P28" s="168" t="str">
        <f t="shared" ca="1" si="7"/>
        <v/>
      </c>
      <c r="Q28" s="168" t="str">
        <f t="shared" ca="1" si="7"/>
        <v/>
      </c>
      <c r="R28" s="168" t="str">
        <f t="shared" ca="1" si="7"/>
        <v/>
      </c>
      <c r="S28" s="168" t="str">
        <f t="shared" ca="1" si="7"/>
        <v/>
      </c>
      <c r="T28" s="168" t="str">
        <f t="shared" ca="1" si="6"/>
        <v/>
      </c>
      <c r="U28" s="168" t="str">
        <f t="shared" ca="1" si="6"/>
        <v/>
      </c>
      <c r="V28" s="168" t="str">
        <f t="shared" ca="1" si="6"/>
        <v/>
      </c>
      <c r="W28" s="168" t="str">
        <f t="shared" ca="1" si="6"/>
        <v/>
      </c>
      <c r="X28" s="168" t="str">
        <f t="shared" ca="1" si="6"/>
        <v/>
      </c>
      <c r="Y28" s="168" t="str">
        <f t="shared" ca="1" si="6"/>
        <v/>
      </c>
      <c r="Z28" s="168" t="str">
        <f t="shared" ca="1" si="6"/>
        <v/>
      </c>
      <c r="AA28" s="168" t="str">
        <f t="shared" ca="1" si="6"/>
        <v/>
      </c>
      <c r="AB28" s="168" t="str">
        <f t="shared" ca="1" si="6"/>
        <v/>
      </c>
      <c r="AC28" s="168" t="str">
        <f t="shared" ca="1" si="6"/>
        <v/>
      </c>
      <c r="AD28" s="168" t="str">
        <f t="shared" ca="1" si="6"/>
        <v/>
      </c>
      <c r="AE28" s="168" t="str">
        <f t="shared" ca="1" si="6"/>
        <v/>
      </c>
      <c r="AF28" s="168" t="str">
        <f t="shared" ca="1" si="6"/>
        <v/>
      </c>
      <c r="AG28" s="168" t="str">
        <f t="shared" ca="1" si="6"/>
        <v/>
      </c>
      <c r="AH28" s="168" t="str">
        <f t="shared" ca="1" si="6"/>
        <v/>
      </c>
      <c r="AI28" s="168" t="str">
        <f t="shared" ca="1" si="6"/>
        <v/>
      </c>
    </row>
    <row r="29" spans="1:35" ht="15" x14ac:dyDescent="0.3">
      <c r="A29" s="189">
        <v>25</v>
      </c>
      <c r="B29" s="189">
        <f ca="1">OFFSET('Matriz de Riesgos'!$F$14,H29,0)</f>
        <v>0</v>
      </c>
      <c r="C29" s="189">
        <f ca="1">OFFSET('Matriz de Riesgos'!$G$8,H29,0)</f>
        <v>0</v>
      </c>
      <c r="D29" s="190">
        <f ca="1">OFFSET('Matriz de Riesgos'!$V$14,H29,0)</f>
        <v>0</v>
      </c>
      <c r="E29" s="190">
        <f ca="1">OFFSET('Matriz de Riesgos'!$W$14,H29,0)</f>
        <v>0</v>
      </c>
      <c r="F29" s="191">
        <f t="shared" ca="1" si="3"/>
        <v>0</v>
      </c>
      <c r="G29" s="168" t="str">
        <f t="shared" ca="1" si="0"/>
        <v>00</v>
      </c>
      <c r="H29" s="168">
        <f t="shared" si="5"/>
        <v>264</v>
      </c>
      <c r="J29" s="201">
        <v>25</v>
      </c>
      <c r="K29" s="168" t="str">
        <f t="shared" ca="1" si="7"/>
        <v/>
      </c>
      <c r="L29" s="168" t="str">
        <f t="shared" ca="1" si="7"/>
        <v/>
      </c>
      <c r="M29" s="168" t="str">
        <f t="shared" ca="1" si="7"/>
        <v/>
      </c>
      <c r="N29" s="168" t="str">
        <f t="shared" ca="1" si="7"/>
        <v/>
      </c>
      <c r="O29" s="168" t="str">
        <f t="shared" ca="1" si="7"/>
        <v/>
      </c>
      <c r="P29" s="168" t="str">
        <f t="shared" ca="1" si="7"/>
        <v/>
      </c>
      <c r="Q29" s="168" t="str">
        <f t="shared" ca="1" si="7"/>
        <v/>
      </c>
      <c r="R29" s="168" t="str">
        <f t="shared" ca="1" si="7"/>
        <v/>
      </c>
      <c r="S29" s="168" t="str">
        <f t="shared" ca="1" si="7"/>
        <v/>
      </c>
      <c r="T29" s="168" t="str">
        <f t="shared" ca="1" si="6"/>
        <v/>
      </c>
      <c r="U29" s="168" t="str">
        <f t="shared" ca="1" si="6"/>
        <v/>
      </c>
      <c r="V29" s="168" t="str">
        <f t="shared" ca="1" si="6"/>
        <v/>
      </c>
      <c r="W29" s="168" t="str">
        <f t="shared" ca="1" si="6"/>
        <v/>
      </c>
      <c r="X29" s="168" t="str">
        <f t="shared" ca="1" si="6"/>
        <v/>
      </c>
      <c r="Y29" s="168" t="str">
        <f t="shared" ca="1" si="6"/>
        <v/>
      </c>
      <c r="Z29" s="168" t="str">
        <f t="shared" ca="1" si="6"/>
        <v/>
      </c>
      <c r="AA29" s="168" t="str">
        <f t="shared" ca="1" si="6"/>
        <v/>
      </c>
      <c r="AB29" s="168" t="str">
        <f t="shared" ca="1" si="6"/>
        <v/>
      </c>
      <c r="AC29" s="168" t="str">
        <f t="shared" ca="1" si="6"/>
        <v/>
      </c>
      <c r="AD29" s="168" t="str">
        <f t="shared" ca="1" si="6"/>
        <v/>
      </c>
      <c r="AE29" s="168" t="str">
        <f t="shared" ca="1" si="6"/>
        <v/>
      </c>
      <c r="AF29" s="168" t="str">
        <f t="shared" ca="1" si="6"/>
        <v/>
      </c>
      <c r="AG29" s="168" t="str">
        <f t="shared" ca="1" si="6"/>
        <v/>
      </c>
      <c r="AH29" s="168" t="str">
        <f t="shared" ca="1" si="6"/>
        <v/>
      </c>
      <c r="AI29" s="168" t="str">
        <f t="shared" ca="1" si="6"/>
        <v/>
      </c>
    </row>
    <row r="30" spans="1:35" ht="15" x14ac:dyDescent="0.3">
      <c r="A30" s="189">
        <v>26</v>
      </c>
      <c r="B30" s="189">
        <f ca="1">OFFSET('Matriz de Riesgos'!$F$14,H30,0)</f>
        <v>0</v>
      </c>
      <c r="C30" s="189">
        <f ca="1">OFFSET('Matriz de Riesgos'!$G$8,H30,0)</f>
        <v>0</v>
      </c>
      <c r="D30" s="190">
        <f ca="1">OFFSET('Matriz de Riesgos'!$V$14,H30,0)</f>
        <v>0</v>
      </c>
      <c r="E30" s="190">
        <f ca="1">OFFSET('Matriz de Riesgos'!$W$14,H30,0)</f>
        <v>0</v>
      </c>
      <c r="F30" s="191">
        <f t="shared" ca="1" si="3"/>
        <v>0</v>
      </c>
      <c r="G30" s="168" t="str">
        <f t="shared" ca="1" si="0"/>
        <v>00</v>
      </c>
      <c r="H30" s="168">
        <f t="shared" si="5"/>
        <v>275</v>
      </c>
      <c r="J30" s="201">
        <v>26</v>
      </c>
      <c r="K30" s="168" t="str">
        <f t="shared" ca="1" si="7"/>
        <v/>
      </c>
      <c r="L30" s="168" t="str">
        <f t="shared" ca="1" si="7"/>
        <v/>
      </c>
      <c r="M30" s="168" t="str">
        <f t="shared" ca="1" si="7"/>
        <v/>
      </c>
      <c r="N30" s="168" t="str">
        <f t="shared" ca="1" si="7"/>
        <v/>
      </c>
      <c r="O30" s="168" t="str">
        <f t="shared" ca="1" si="7"/>
        <v/>
      </c>
      <c r="P30" s="168" t="str">
        <f t="shared" ca="1" si="7"/>
        <v/>
      </c>
      <c r="Q30" s="168" t="str">
        <f t="shared" ca="1" si="7"/>
        <v/>
      </c>
      <c r="R30" s="168" t="str">
        <f t="shared" ca="1" si="7"/>
        <v/>
      </c>
      <c r="S30" s="168" t="str">
        <f t="shared" ca="1" si="7"/>
        <v/>
      </c>
      <c r="T30" s="168" t="str">
        <f t="shared" ca="1" si="6"/>
        <v/>
      </c>
      <c r="U30" s="168" t="str">
        <f t="shared" ca="1" si="6"/>
        <v/>
      </c>
      <c r="V30" s="168" t="str">
        <f t="shared" ca="1" si="6"/>
        <v/>
      </c>
      <c r="W30" s="168" t="str">
        <f t="shared" ca="1" si="6"/>
        <v/>
      </c>
      <c r="X30" s="168" t="str">
        <f t="shared" ca="1" si="6"/>
        <v/>
      </c>
      <c r="Y30" s="168" t="str">
        <f t="shared" ca="1" si="6"/>
        <v/>
      </c>
      <c r="Z30" s="168" t="str">
        <f t="shared" ca="1" si="6"/>
        <v/>
      </c>
      <c r="AA30" s="168" t="str">
        <f t="shared" ca="1" si="6"/>
        <v/>
      </c>
      <c r="AB30" s="168" t="str">
        <f t="shared" ca="1" si="6"/>
        <v/>
      </c>
      <c r="AC30" s="168" t="str">
        <f t="shared" ca="1" si="6"/>
        <v/>
      </c>
      <c r="AD30" s="168" t="str">
        <f t="shared" ca="1" si="6"/>
        <v/>
      </c>
      <c r="AE30" s="168" t="str">
        <f t="shared" ca="1" si="6"/>
        <v/>
      </c>
      <c r="AF30" s="168" t="str">
        <f t="shared" ca="1" si="6"/>
        <v/>
      </c>
      <c r="AG30" s="168" t="str">
        <f t="shared" ca="1" si="6"/>
        <v/>
      </c>
      <c r="AH30" s="168" t="str">
        <f t="shared" ca="1" si="6"/>
        <v/>
      </c>
      <c r="AI30" s="168" t="str">
        <f t="shared" ca="1" si="6"/>
        <v/>
      </c>
    </row>
    <row r="31" spans="1:35" ht="15" x14ac:dyDescent="0.3">
      <c r="A31" s="189">
        <v>27</v>
      </c>
      <c r="B31" s="189">
        <f ca="1">OFFSET('Matriz de Riesgos'!$F$14,H31,0)</f>
        <v>0</v>
      </c>
      <c r="C31" s="189">
        <f ca="1">OFFSET('Matriz de Riesgos'!$G$8,H31,0)</f>
        <v>0</v>
      </c>
      <c r="D31" s="190">
        <f ca="1">OFFSET('Matriz de Riesgos'!$V$14,H31,0)</f>
        <v>0</v>
      </c>
      <c r="E31" s="190">
        <f ca="1">OFFSET('Matriz de Riesgos'!$W$14,H31,0)</f>
        <v>0</v>
      </c>
      <c r="F31" s="191">
        <f t="shared" ca="1" si="3"/>
        <v>0</v>
      </c>
      <c r="G31" s="168" t="str">
        <f t="shared" ca="1" si="0"/>
        <v>00</v>
      </c>
      <c r="H31" s="168">
        <f t="shared" si="5"/>
        <v>286</v>
      </c>
      <c r="J31" s="201">
        <v>27</v>
      </c>
      <c r="K31" s="168" t="str">
        <f t="shared" ca="1" si="7"/>
        <v/>
      </c>
      <c r="L31" s="168" t="str">
        <f t="shared" ca="1" si="7"/>
        <v/>
      </c>
      <c r="M31" s="168" t="str">
        <f t="shared" ca="1" si="7"/>
        <v/>
      </c>
      <c r="N31" s="168" t="str">
        <f t="shared" ca="1" si="7"/>
        <v/>
      </c>
      <c r="O31" s="168" t="str">
        <f t="shared" ca="1" si="7"/>
        <v/>
      </c>
      <c r="P31" s="168" t="str">
        <f t="shared" ca="1" si="7"/>
        <v/>
      </c>
      <c r="Q31" s="168" t="str">
        <f t="shared" ca="1" si="7"/>
        <v/>
      </c>
      <c r="R31" s="168" t="str">
        <f t="shared" ca="1" si="7"/>
        <v/>
      </c>
      <c r="S31" s="168" t="str">
        <f t="shared" ca="1" si="7"/>
        <v/>
      </c>
      <c r="T31" s="168" t="str">
        <f t="shared" ca="1" si="6"/>
        <v/>
      </c>
      <c r="U31" s="168" t="str">
        <f t="shared" ca="1" si="6"/>
        <v/>
      </c>
      <c r="V31" s="168" t="str">
        <f t="shared" ca="1" si="6"/>
        <v/>
      </c>
      <c r="W31" s="168" t="str">
        <f t="shared" ca="1" si="6"/>
        <v/>
      </c>
      <c r="X31" s="168" t="str">
        <f t="shared" ca="1" si="6"/>
        <v/>
      </c>
      <c r="Y31" s="168" t="str">
        <f t="shared" ca="1" si="6"/>
        <v/>
      </c>
      <c r="Z31" s="168" t="str">
        <f t="shared" ca="1" si="6"/>
        <v/>
      </c>
      <c r="AA31" s="168" t="str">
        <f t="shared" ca="1" si="6"/>
        <v/>
      </c>
      <c r="AB31" s="168" t="str">
        <f t="shared" ca="1" si="6"/>
        <v/>
      </c>
      <c r="AC31" s="168" t="str">
        <f t="shared" ca="1" si="6"/>
        <v/>
      </c>
      <c r="AD31" s="168" t="str">
        <f t="shared" ca="1" si="6"/>
        <v/>
      </c>
      <c r="AE31" s="168" t="str">
        <f t="shared" ca="1" si="6"/>
        <v/>
      </c>
      <c r="AF31" s="168" t="str">
        <f t="shared" ca="1" si="6"/>
        <v/>
      </c>
      <c r="AG31" s="168" t="str">
        <f t="shared" ca="1" si="6"/>
        <v/>
      </c>
      <c r="AH31" s="168" t="str">
        <f t="shared" ca="1" si="6"/>
        <v/>
      </c>
      <c r="AI31" s="168" t="str">
        <f t="shared" ca="1" si="6"/>
        <v/>
      </c>
    </row>
    <row r="32" spans="1:35" ht="15" x14ac:dyDescent="0.3">
      <c r="A32" s="189">
        <v>28</v>
      </c>
      <c r="B32" s="189">
        <f ca="1">OFFSET('Matriz de Riesgos'!$F$14,H32,0)</f>
        <v>0</v>
      </c>
      <c r="C32" s="189">
        <f ca="1">OFFSET('Matriz de Riesgos'!$G$8,H32,0)</f>
        <v>0</v>
      </c>
      <c r="D32" s="190">
        <f ca="1">OFFSET('Matriz de Riesgos'!$V$14,H32,0)</f>
        <v>0</v>
      </c>
      <c r="E32" s="190">
        <f ca="1">OFFSET('Matriz de Riesgos'!$W$14,H32,0)</f>
        <v>0</v>
      </c>
      <c r="F32" s="191">
        <f t="shared" ca="1" si="3"/>
        <v>0</v>
      </c>
      <c r="G32" s="168" t="str">
        <f t="shared" ca="1" si="0"/>
        <v>00</v>
      </c>
      <c r="H32" s="168">
        <f t="shared" si="5"/>
        <v>297</v>
      </c>
      <c r="J32" s="201">
        <v>28</v>
      </c>
      <c r="K32" s="168" t="str">
        <f t="shared" ca="1" si="7"/>
        <v/>
      </c>
      <c r="L32" s="168" t="str">
        <f t="shared" ca="1" si="7"/>
        <v/>
      </c>
      <c r="M32" s="168" t="str">
        <f t="shared" ca="1" si="7"/>
        <v/>
      </c>
      <c r="N32" s="168" t="str">
        <f t="shared" ca="1" si="7"/>
        <v/>
      </c>
      <c r="O32" s="168" t="str">
        <f t="shared" ca="1" si="7"/>
        <v/>
      </c>
      <c r="P32" s="168" t="str">
        <f t="shared" ca="1" si="7"/>
        <v/>
      </c>
      <c r="Q32" s="168" t="str">
        <f t="shared" ca="1" si="7"/>
        <v/>
      </c>
      <c r="R32" s="168" t="str">
        <f t="shared" ca="1" si="7"/>
        <v/>
      </c>
      <c r="S32" s="168" t="str">
        <f t="shared" ca="1" si="7"/>
        <v/>
      </c>
      <c r="T32" s="168" t="str">
        <f t="shared" ca="1" si="6"/>
        <v/>
      </c>
      <c r="U32" s="168" t="str">
        <f t="shared" ca="1" si="6"/>
        <v/>
      </c>
      <c r="V32" s="168" t="str">
        <f t="shared" ca="1" si="6"/>
        <v/>
      </c>
      <c r="W32" s="168" t="str">
        <f t="shared" ca="1" si="6"/>
        <v/>
      </c>
      <c r="X32" s="168" t="str">
        <f t="shared" ca="1" si="6"/>
        <v/>
      </c>
      <c r="Y32" s="168" t="str">
        <f t="shared" ca="1" si="6"/>
        <v/>
      </c>
      <c r="Z32" s="168" t="str">
        <f t="shared" ca="1" si="6"/>
        <v/>
      </c>
      <c r="AA32" s="168" t="str">
        <f t="shared" ca="1" si="6"/>
        <v/>
      </c>
      <c r="AB32" s="168" t="str">
        <f t="shared" ca="1" si="6"/>
        <v/>
      </c>
      <c r="AC32" s="168" t="str">
        <f t="shared" ca="1" si="6"/>
        <v/>
      </c>
      <c r="AD32" s="168" t="str">
        <f t="shared" ca="1" si="6"/>
        <v/>
      </c>
      <c r="AE32" s="168" t="str">
        <f t="shared" ca="1" si="6"/>
        <v/>
      </c>
      <c r="AF32" s="168" t="str">
        <f t="shared" ca="1" si="6"/>
        <v/>
      </c>
      <c r="AG32" s="168" t="str">
        <f t="shared" ca="1" si="6"/>
        <v/>
      </c>
      <c r="AH32" s="168" t="str">
        <f t="shared" ca="1" si="6"/>
        <v/>
      </c>
      <c r="AI32" s="168" t="str">
        <f t="shared" ca="1" si="6"/>
        <v/>
      </c>
    </row>
    <row r="33" spans="1:35" ht="15" x14ac:dyDescent="0.3">
      <c r="A33" s="189">
        <v>29</v>
      </c>
      <c r="B33" s="189">
        <f ca="1">OFFSET('Matriz de Riesgos'!$F$14,H33,0)</f>
        <v>0</v>
      </c>
      <c r="C33" s="189">
        <f ca="1">OFFSET('Matriz de Riesgos'!$G$8,H33,0)</f>
        <v>0</v>
      </c>
      <c r="D33" s="190">
        <f ca="1">OFFSET('Matriz de Riesgos'!$V$14,H33,0)</f>
        <v>0</v>
      </c>
      <c r="E33" s="190">
        <f ca="1">OFFSET('Matriz de Riesgos'!$W$14,H33,0)</f>
        <v>0</v>
      </c>
      <c r="F33" s="191">
        <f t="shared" ca="1" si="3"/>
        <v>0</v>
      </c>
      <c r="G33" s="168" t="str">
        <f t="shared" ca="1" si="0"/>
        <v>00</v>
      </c>
      <c r="H33" s="168">
        <f t="shared" si="5"/>
        <v>308</v>
      </c>
      <c r="J33" s="201">
        <v>29</v>
      </c>
      <c r="K33" s="168" t="str">
        <f t="shared" ca="1" si="7"/>
        <v/>
      </c>
      <c r="L33" s="168" t="str">
        <f t="shared" ca="1" si="7"/>
        <v/>
      </c>
      <c r="M33" s="168" t="str">
        <f t="shared" ca="1" si="7"/>
        <v/>
      </c>
      <c r="N33" s="168" t="str">
        <f t="shared" ca="1" si="7"/>
        <v/>
      </c>
      <c r="O33" s="168" t="str">
        <f t="shared" ca="1" si="7"/>
        <v/>
      </c>
      <c r="P33" s="168" t="str">
        <f t="shared" ca="1" si="7"/>
        <v/>
      </c>
      <c r="Q33" s="168" t="str">
        <f t="shared" ca="1" si="7"/>
        <v/>
      </c>
      <c r="R33" s="168" t="str">
        <f t="shared" ca="1" si="7"/>
        <v/>
      </c>
      <c r="S33" s="168" t="str">
        <f t="shared" ca="1" si="7"/>
        <v/>
      </c>
      <c r="T33" s="168" t="str">
        <f t="shared" ca="1" si="6"/>
        <v/>
      </c>
      <c r="U33" s="168" t="str">
        <f t="shared" ca="1" si="6"/>
        <v/>
      </c>
      <c r="V33" s="168" t="str">
        <f t="shared" ca="1" si="6"/>
        <v/>
      </c>
      <c r="W33" s="168" t="str">
        <f t="shared" ca="1" si="6"/>
        <v/>
      </c>
      <c r="X33" s="168" t="str">
        <f t="shared" ca="1" si="6"/>
        <v/>
      </c>
      <c r="Y33" s="168" t="str">
        <f t="shared" ca="1" si="6"/>
        <v/>
      </c>
      <c r="Z33" s="168" t="str">
        <f t="shared" ca="1" si="6"/>
        <v/>
      </c>
      <c r="AA33" s="168" t="str">
        <f t="shared" ca="1" si="6"/>
        <v/>
      </c>
      <c r="AB33" s="168" t="str">
        <f t="shared" ca="1" si="6"/>
        <v/>
      </c>
      <c r="AC33" s="168" t="str">
        <f t="shared" ca="1" si="6"/>
        <v/>
      </c>
      <c r="AD33" s="168" t="str">
        <f t="shared" ca="1" si="6"/>
        <v/>
      </c>
      <c r="AE33" s="168" t="str">
        <f t="shared" ca="1" si="6"/>
        <v/>
      </c>
      <c r="AF33" s="168" t="str">
        <f t="shared" ca="1" si="6"/>
        <v/>
      </c>
      <c r="AG33" s="168" t="str">
        <f t="shared" ca="1" si="6"/>
        <v/>
      </c>
      <c r="AH33" s="168" t="str">
        <f t="shared" ca="1" si="6"/>
        <v/>
      </c>
      <c r="AI33" s="168" t="str">
        <f t="shared" ca="1" si="6"/>
        <v/>
      </c>
    </row>
    <row r="34" spans="1:35" ht="15" x14ac:dyDescent="0.3">
      <c r="A34" s="189">
        <v>30</v>
      </c>
      <c r="B34" s="189">
        <f ca="1">OFFSET('Matriz de Riesgos'!$F$14,H34,0)</f>
        <v>0</v>
      </c>
      <c r="C34" s="189">
        <f ca="1">OFFSET('Matriz de Riesgos'!$G$8,H34,0)</f>
        <v>0</v>
      </c>
      <c r="D34" s="190">
        <f ca="1">OFFSET('Matriz de Riesgos'!$V$14,H34,0)</f>
        <v>0</v>
      </c>
      <c r="E34" s="190">
        <f ca="1">OFFSET('Matriz de Riesgos'!$W$14,H34,0)</f>
        <v>0</v>
      </c>
      <c r="F34" s="191">
        <f t="shared" ca="1" si="3"/>
        <v>0</v>
      </c>
      <c r="G34" s="168" t="str">
        <f t="shared" ca="1" si="0"/>
        <v>00</v>
      </c>
      <c r="H34" s="168">
        <f t="shared" si="5"/>
        <v>319</v>
      </c>
      <c r="J34" s="201">
        <v>30</v>
      </c>
      <c r="K34" s="168" t="str">
        <f t="shared" ca="1" si="7"/>
        <v/>
      </c>
      <c r="L34" s="168" t="str">
        <f t="shared" ca="1" si="7"/>
        <v/>
      </c>
      <c r="M34" s="168" t="str">
        <f t="shared" ca="1" si="7"/>
        <v/>
      </c>
      <c r="N34" s="168" t="str">
        <f t="shared" ca="1" si="7"/>
        <v/>
      </c>
      <c r="O34" s="168" t="str">
        <f t="shared" ca="1" si="7"/>
        <v/>
      </c>
      <c r="P34" s="168" t="str">
        <f t="shared" ca="1" si="7"/>
        <v/>
      </c>
      <c r="Q34" s="168" t="str">
        <f t="shared" ca="1" si="7"/>
        <v/>
      </c>
      <c r="R34" s="168" t="str">
        <f t="shared" ca="1" si="7"/>
        <v/>
      </c>
      <c r="S34" s="168" t="str">
        <f t="shared" ca="1" si="7"/>
        <v/>
      </c>
      <c r="T34" s="168" t="str">
        <f t="shared" ca="1" si="6"/>
        <v/>
      </c>
      <c r="U34" s="168" t="str">
        <f t="shared" ca="1" si="6"/>
        <v/>
      </c>
      <c r="V34" s="168" t="str">
        <f t="shared" ca="1" si="6"/>
        <v/>
      </c>
      <c r="W34" s="168" t="str">
        <f t="shared" ca="1" si="6"/>
        <v/>
      </c>
      <c r="X34" s="168" t="str">
        <f t="shared" ca="1" si="6"/>
        <v/>
      </c>
      <c r="Y34" s="168" t="str">
        <f t="shared" ca="1" si="6"/>
        <v/>
      </c>
      <c r="Z34" s="168" t="str">
        <f t="shared" ca="1" si="6"/>
        <v/>
      </c>
      <c r="AA34" s="168" t="str">
        <f t="shared" ca="1" si="6"/>
        <v/>
      </c>
      <c r="AB34" s="168" t="str">
        <f t="shared" ca="1" si="6"/>
        <v/>
      </c>
      <c r="AC34" s="168" t="str">
        <f t="shared" ca="1" si="6"/>
        <v/>
      </c>
      <c r="AD34" s="168" t="str">
        <f t="shared" ca="1" si="6"/>
        <v/>
      </c>
      <c r="AE34" s="168" t="str">
        <f t="shared" ca="1" si="6"/>
        <v/>
      </c>
      <c r="AF34" s="168" t="str">
        <f t="shared" ca="1" si="6"/>
        <v/>
      </c>
      <c r="AG34" s="168" t="str">
        <f t="shared" ca="1" si="6"/>
        <v/>
      </c>
      <c r="AH34" s="168" t="str">
        <f t="shared" ca="1" si="6"/>
        <v/>
      </c>
      <c r="AI34" s="168" t="str">
        <f t="shared" ca="1" si="6"/>
        <v/>
      </c>
    </row>
    <row r="35" spans="1:35" ht="15" x14ac:dyDescent="0.3">
      <c r="A35" s="189">
        <v>31</v>
      </c>
      <c r="B35" s="189">
        <f ca="1">OFFSET('Matriz de Riesgos'!$F$14,H35,0)</f>
        <v>0</v>
      </c>
      <c r="C35" s="189">
        <f ca="1">OFFSET('Matriz de Riesgos'!$G$8,H35,0)</f>
        <v>0</v>
      </c>
      <c r="D35" s="190">
        <f ca="1">OFFSET('Matriz de Riesgos'!$V$14,H35,0)</f>
        <v>0</v>
      </c>
      <c r="E35" s="190">
        <f ca="1">OFFSET('Matriz de Riesgos'!$W$14,H35,0)</f>
        <v>0</v>
      </c>
      <c r="F35" s="191">
        <f t="shared" ca="1" si="3"/>
        <v>0</v>
      </c>
      <c r="G35" s="168" t="str">
        <f t="shared" ca="1" si="0"/>
        <v>00</v>
      </c>
      <c r="H35" s="168">
        <f t="shared" si="5"/>
        <v>330</v>
      </c>
      <c r="J35" s="201">
        <v>31</v>
      </c>
      <c r="K35" s="168" t="str">
        <f t="shared" ca="1" si="7"/>
        <v/>
      </c>
      <c r="L35" s="168" t="str">
        <f t="shared" ca="1" si="7"/>
        <v/>
      </c>
      <c r="M35" s="168" t="str">
        <f t="shared" ca="1" si="7"/>
        <v/>
      </c>
      <c r="N35" s="168" t="str">
        <f t="shared" ca="1" si="7"/>
        <v/>
      </c>
      <c r="O35" s="168" t="str">
        <f t="shared" ca="1" si="7"/>
        <v/>
      </c>
      <c r="P35" s="168" t="str">
        <f t="shared" ca="1" si="7"/>
        <v/>
      </c>
      <c r="Q35" s="168" t="str">
        <f t="shared" ca="1" si="7"/>
        <v/>
      </c>
      <c r="R35" s="168" t="str">
        <f t="shared" ca="1" si="7"/>
        <v/>
      </c>
      <c r="S35" s="168" t="str">
        <f t="shared" ca="1" si="7"/>
        <v/>
      </c>
      <c r="T35" s="168" t="str">
        <f t="shared" ca="1" si="6"/>
        <v/>
      </c>
      <c r="U35" s="168" t="str">
        <f t="shared" ca="1" si="6"/>
        <v/>
      </c>
      <c r="V35" s="168" t="str">
        <f t="shared" ca="1" si="6"/>
        <v/>
      </c>
      <c r="W35" s="168" t="str">
        <f t="shared" ca="1" si="6"/>
        <v/>
      </c>
      <c r="X35" s="168" t="str">
        <f t="shared" ca="1" si="6"/>
        <v/>
      </c>
      <c r="Y35" s="168" t="str">
        <f t="shared" ca="1" si="6"/>
        <v/>
      </c>
      <c r="Z35" s="168" t="str">
        <f t="shared" ca="1" si="6"/>
        <v/>
      </c>
      <c r="AA35" s="168" t="str">
        <f t="shared" ca="1" si="6"/>
        <v/>
      </c>
      <c r="AB35" s="168" t="str">
        <f t="shared" ca="1" si="6"/>
        <v/>
      </c>
      <c r="AC35" s="168" t="str">
        <f t="shared" ca="1" si="6"/>
        <v/>
      </c>
      <c r="AD35" s="168" t="str">
        <f t="shared" ca="1" si="6"/>
        <v/>
      </c>
      <c r="AE35" s="168" t="str">
        <f t="shared" ca="1" si="6"/>
        <v/>
      </c>
      <c r="AF35" s="168" t="str">
        <f t="shared" ca="1" si="6"/>
        <v/>
      </c>
      <c r="AG35" s="168" t="str">
        <f t="shared" ca="1" si="6"/>
        <v/>
      </c>
      <c r="AH35" s="168" t="str">
        <f t="shared" ca="1" si="6"/>
        <v/>
      </c>
      <c r="AI35" s="168" t="str">
        <f t="shared" ca="1" si="6"/>
        <v/>
      </c>
    </row>
    <row r="36" spans="1:35" ht="15" x14ac:dyDescent="0.3">
      <c r="A36" s="189">
        <v>32</v>
      </c>
      <c r="B36" s="189">
        <f ca="1">OFFSET('Matriz de Riesgos'!$F$14,H36,0)</f>
        <v>0</v>
      </c>
      <c r="C36" s="189">
        <f ca="1">OFFSET('Matriz de Riesgos'!$G$8,H36,0)</f>
        <v>0</v>
      </c>
      <c r="D36" s="190">
        <f ca="1">OFFSET('Matriz de Riesgos'!$V$14,H36,0)</f>
        <v>0</v>
      </c>
      <c r="E36" s="190">
        <f ca="1">OFFSET('Matriz de Riesgos'!$W$14,H36,0)</f>
        <v>0</v>
      </c>
      <c r="F36" s="191">
        <f t="shared" ca="1" si="3"/>
        <v>0</v>
      </c>
      <c r="G36" s="168" t="str">
        <f t="shared" ca="1" si="0"/>
        <v>00</v>
      </c>
      <c r="H36" s="168">
        <f t="shared" si="5"/>
        <v>341</v>
      </c>
      <c r="J36" s="201">
        <v>32</v>
      </c>
      <c r="K36" s="168" t="str">
        <f t="shared" ca="1" si="7"/>
        <v/>
      </c>
      <c r="L36" s="168" t="str">
        <f t="shared" ca="1" si="7"/>
        <v/>
      </c>
      <c r="M36" s="168" t="str">
        <f t="shared" ca="1" si="7"/>
        <v/>
      </c>
      <c r="N36" s="168" t="str">
        <f t="shared" ca="1" si="7"/>
        <v/>
      </c>
      <c r="O36" s="168" t="str">
        <f t="shared" ca="1" si="7"/>
        <v/>
      </c>
      <c r="P36" s="168" t="str">
        <f t="shared" ca="1" si="7"/>
        <v/>
      </c>
      <c r="Q36" s="168" t="str">
        <f t="shared" ca="1" si="7"/>
        <v/>
      </c>
      <c r="R36" s="168" t="str">
        <f t="shared" ca="1" si="7"/>
        <v/>
      </c>
      <c r="S36" s="168" t="str">
        <f t="shared" ca="1" si="7"/>
        <v/>
      </c>
      <c r="T36" s="168" t="str">
        <f t="shared" ca="1" si="6"/>
        <v/>
      </c>
      <c r="U36" s="168" t="str">
        <f t="shared" ca="1" si="6"/>
        <v/>
      </c>
      <c r="V36" s="168" t="str">
        <f t="shared" ca="1" si="6"/>
        <v/>
      </c>
      <c r="W36" s="168" t="str">
        <f t="shared" ca="1" si="6"/>
        <v/>
      </c>
      <c r="X36" s="168" t="str">
        <f t="shared" ca="1" si="6"/>
        <v/>
      </c>
      <c r="Y36" s="168" t="str">
        <f t="shared" ca="1" si="6"/>
        <v/>
      </c>
      <c r="Z36" s="168" t="str">
        <f t="shared" ca="1" si="6"/>
        <v/>
      </c>
      <c r="AA36" s="168" t="str">
        <f t="shared" ca="1" si="6"/>
        <v/>
      </c>
      <c r="AB36" s="168" t="str">
        <f t="shared" ca="1" si="6"/>
        <v/>
      </c>
      <c r="AC36" s="168" t="str">
        <f t="shared" ca="1" si="6"/>
        <v/>
      </c>
      <c r="AD36" s="168" t="str">
        <f t="shared" ca="1" si="6"/>
        <v/>
      </c>
      <c r="AE36" s="168" t="str">
        <f t="shared" ca="1" si="6"/>
        <v/>
      </c>
      <c r="AF36" s="168" t="str">
        <f t="shared" ca="1" si="6"/>
        <v/>
      </c>
      <c r="AG36" s="168" t="str">
        <f t="shared" ca="1" si="6"/>
        <v/>
      </c>
      <c r="AH36" s="168" t="str">
        <f t="shared" ca="1" si="6"/>
        <v/>
      </c>
      <c r="AI36" s="168" t="str">
        <f t="shared" ca="1" si="6"/>
        <v/>
      </c>
    </row>
    <row r="37" spans="1:35" ht="15" x14ac:dyDescent="0.3">
      <c r="A37" s="189">
        <v>33</v>
      </c>
      <c r="B37" s="189">
        <f ca="1">OFFSET('Matriz de Riesgos'!$F$14,H37,0)</f>
        <v>0</v>
      </c>
      <c r="C37" s="189">
        <f ca="1">OFFSET('Matriz de Riesgos'!$G$8,H37,0)</f>
        <v>0</v>
      </c>
      <c r="D37" s="190">
        <f ca="1">OFFSET('Matriz de Riesgos'!$V$14,H37,0)</f>
        <v>0</v>
      </c>
      <c r="E37" s="190">
        <f ca="1">OFFSET('Matriz de Riesgos'!$W$14,H37,0)</f>
        <v>0</v>
      </c>
      <c r="F37" s="191">
        <f t="shared" ca="1" si="3"/>
        <v>0</v>
      </c>
      <c r="G37" s="168" t="str">
        <f t="shared" ca="1" si="0"/>
        <v>00</v>
      </c>
      <c r="H37" s="168">
        <f t="shared" si="5"/>
        <v>352</v>
      </c>
      <c r="J37" s="201">
        <v>33</v>
      </c>
      <c r="K37" s="168" t="str">
        <f t="shared" ca="1" si="7"/>
        <v/>
      </c>
      <c r="L37" s="168" t="str">
        <f t="shared" ca="1" si="7"/>
        <v/>
      </c>
      <c r="M37" s="168" t="str">
        <f t="shared" ca="1" si="7"/>
        <v/>
      </c>
      <c r="N37" s="168" t="str">
        <f t="shared" ca="1" si="7"/>
        <v/>
      </c>
      <c r="O37" s="168" t="str">
        <f t="shared" ca="1" si="7"/>
        <v/>
      </c>
      <c r="P37" s="168" t="str">
        <f t="shared" ca="1" si="7"/>
        <v/>
      </c>
      <c r="Q37" s="168" t="str">
        <f t="shared" ca="1" si="7"/>
        <v/>
      </c>
      <c r="R37" s="168" t="str">
        <f t="shared" ca="1" si="7"/>
        <v/>
      </c>
      <c r="S37" s="168" t="str">
        <f t="shared" ca="1" si="7"/>
        <v/>
      </c>
      <c r="T37" s="168" t="str">
        <f t="shared" ref="T37:AI52" ca="1" si="8">IF($G37=T$4,$B37&amp;";","")</f>
        <v/>
      </c>
      <c r="U37" s="168" t="str">
        <f t="shared" ca="1" si="8"/>
        <v/>
      </c>
      <c r="V37" s="168" t="str">
        <f t="shared" ca="1" si="8"/>
        <v/>
      </c>
      <c r="W37" s="168" t="str">
        <f t="shared" ca="1" si="8"/>
        <v/>
      </c>
      <c r="X37" s="168" t="str">
        <f t="shared" ca="1" si="8"/>
        <v/>
      </c>
      <c r="Y37" s="168" t="str">
        <f t="shared" ca="1" si="8"/>
        <v/>
      </c>
      <c r="Z37" s="168" t="str">
        <f t="shared" ca="1" si="8"/>
        <v/>
      </c>
      <c r="AA37" s="168" t="str">
        <f t="shared" ca="1" si="8"/>
        <v/>
      </c>
      <c r="AB37" s="168" t="str">
        <f t="shared" ca="1" si="8"/>
        <v/>
      </c>
      <c r="AC37" s="168" t="str">
        <f t="shared" ca="1" si="8"/>
        <v/>
      </c>
      <c r="AD37" s="168" t="str">
        <f t="shared" ca="1" si="8"/>
        <v/>
      </c>
      <c r="AE37" s="168" t="str">
        <f t="shared" ca="1" si="8"/>
        <v/>
      </c>
      <c r="AF37" s="168" t="str">
        <f t="shared" ca="1" si="8"/>
        <v/>
      </c>
      <c r="AG37" s="168" t="str">
        <f t="shared" ca="1" si="8"/>
        <v/>
      </c>
      <c r="AH37" s="168" t="str">
        <f t="shared" ca="1" si="8"/>
        <v/>
      </c>
      <c r="AI37" s="168" t="str">
        <f t="shared" ca="1" si="8"/>
        <v/>
      </c>
    </row>
    <row r="38" spans="1:35" ht="15" x14ac:dyDescent="0.3">
      <c r="A38" s="189">
        <v>34</v>
      </c>
      <c r="B38" s="189">
        <f ca="1">OFFSET('Matriz de Riesgos'!$F$14,H38,0)</f>
        <v>0</v>
      </c>
      <c r="C38" s="189">
        <f ca="1">OFFSET('Matriz de Riesgos'!$G$8,H38,0)</f>
        <v>0</v>
      </c>
      <c r="D38" s="190">
        <f ca="1">OFFSET('Matriz de Riesgos'!$V$14,H38,0)</f>
        <v>0</v>
      </c>
      <c r="E38" s="190">
        <f ca="1">OFFSET('Matriz de Riesgos'!$W$14,H38,0)</f>
        <v>0</v>
      </c>
      <c r="F38" s="191">
        <f t="shared" ca="1" si="3"/>
        <v>0</v>
      </c>
      <c r="G38" s="168" t="str">
        <f t="shared" ca="1" si="0"/>
        <v>00</v>
      </c>
      <c r="H38" s="168">
        <f t="shared" si="5"/>
        <v>363</v>
      </c>
      <c r="J38" s="201">
        <v>34</v>
      </c>
      <c r="K38" s="168" t="str">
        <f t="shared" ref="K38:Z53" ca="1" si="9">IF($G38=K$4,$B38&amp;";","")</f>
        <v/>
      </c>
      <c r="L38" s="168" t="str">
        <f t="shared" ca="1" si="9"/>
        <v/>
      </c>
      <c r="M38" s="168" t="str">
        <f t="shared" ca="1" si="9"/>
        <v/>
      </c>
      <c r="N38" s="168" t="str">
        <f t="shared" ca="1" si="9"/>
        <v/>
      </c>
      <c r="O38" s="168" t="str">
        <f t="shared" ca="1" si="9"/>
        <v/>
      </c>
      <c r="P38" s="168" t="str">
        <f t="shared" ca="1" si="9"/>
        <v/>
      </c>
      <c r="Q38" s="168" t="str">
        <f t="shared" ca="1" si="9"/>
        <v/>
      </c>
      <c r="R38" s="168" t="str">
        <f t="shared" ca="1" si="9"/>
        <v/>
      </c>
      <c r="S38" s="168" t="str">
        <f t="shared" ca="1" si="9"/>
        <v/>
      </c>
      <c r="T38" s="168" t="str">
        <f t="shared" ca="1" si="9"/>
        <v/>
      </c>
      <c r="U38" s="168" t="str">
        <f t="shared" ca="1" si="9"/>
        <v/>
      </c>
      <c r="V38" s="168" t="str">
        <f t="shared" ca="1" si="9"/>
        <v/>
      </c>
      <c r="W38" s="168" t="str">
        <f t="shared" ca="1" si="9"/>
        <v/>
      </c>
      <c r="X38" s="168" t="str">
        <f t="shared" ca="1" si="9"/>
        <v/>
      </c>
      <c r="Y38" s="168" t="str">
        <f t="shared" ca="1" si="9"/>
        <v/>
      </c>
      <c r="Z38" s="168" t="str">
        <f t="shared" ca="1" si="9"/>
        <v/>
      </c>
      <c r="AA38" s="168" t="str">
        <f t="shared" ca="1" si="8"/>
        <v/>
      </c>
      <c r="AB38" s="168" t="str">
        <f t="shared" ca="1" si="8"/>
        <v/>
      </c>
      <c r="AC38" s="168" t="str">
        <f t="shared" ca="1" si="8"/>
        <v/>
      </c>
      <c r="AD38" s="168" t="str">
        <f t="shared" ca="1" si="8"/>
        <v/>
      </c>
      <c r="AE38" s="168" t="str">
        <f t="shared" ca="1" si="8"/>
        <v/>
      </c>
      <c r="AF38" s="168" t="str">
        <f t="shared" ca="1" si="8"/>
        <v/>
      </c>
      <c r="AG38" s="168" t="str">
        <f t="shared" ca="1" si="8"/>
        <v/>
      </c>
      <c r="AH38" s="168" t="str">
        <f t="shared" ca="1" si="8"/>
        <v/>
      </c>
      <c r="AI38" s="168" t="str">
        <f t="shared" ca="1" si="8"/>
        <v/>
      </c>
    </row>
    <row r="39" spans="1:35" ht="15" x14ac:dyDescent="0.3">
      <c r="A39" s="189">
        <v>35</v>
      </c>
      <c r="B39" s="189">
        <f ca="1">OFFSET('Matriz de Riesgos'!$F$14,H39,0)</f>
        <v>0</v>
      </c>
      <c r="C39" s="189">
        <f ca="1">OFFSET('Matriz de Riesgos'!$G$8,H39,0)</f>
        <v>0</v>
      </c>
      <c r="D39" s="190">
        <f ca="1">OFFSET('Matriz de Riesgos'!$V$14,H39,0)</f>
        <v>0</v>
      </c>
      <c r="E39" s="190">
        <f ca="1">OFFSET('Matriz de Riesgos'!$W$14,H39,0)</f>
        <v>0</v>
      </c>
      <c r="F39" s="191">
        <f t="shared" ca="1" si="3"/>
        <v>0</v>
      </c>
      <c r="G39" s="168" t="str">
        <f t="shared" ca="1" si="0"/>
        <v>00</v>
      </c>
      <c r="H39" s="168">
        <f t="shared" si="5"/>
        <v>374</v>
      </c>
      <c r="J39" s="201">
        <v>35</v>
      </c>
      <c r="K39" s="168" t="str">
        <f t="shared" ca="1" si="9"/>
        <v/>
      </c>
      <c r="L39" s="168" t="str">
        <f t="shared" ca="1" si="9"/>
        <v/>
      </c>
      <c r="M39" s="168" t="str">
        <f t="shared" ca="1" si="9"/>
        <v/>
      </c>
      <c r="N39" s="168" t="str">
        <f t="shared" ca="1" si="9"/>
        <v/>
      </c>
      <c r="O39" s="168" t="str">
        <f t="shared" ca="1" si="9"/>
        <v/>
      </c>
      <c r="P39" s="168" t="str">
        <f t="shared" ca="1" si="9"/>
        <v/>
      </c>
      <c r="Q39" s="168" t="str">
        <f t="shared" ca="1" si="9"/>
        <v/>
      </c>
      <c r="R39" s="168" t="str">
        <f t="shared" ca="1" si="9"/>
        <v/>
      </c>
      <c r="S39" s="168" t="str">
        <f t="shared" ca="1" si="9"/>
        <v/>
      </c>
      <c r="T39" s="168" t="str">
        <f t="shared" ca="1" si="8"/>
        <v/>
      </c>
      <c r="U39" s="168" t="str">
        <f t="shared" ca="1" si="8"/>
        <v/>
      </c>
      <c r="V39" s="168" t="str">
        <f t="shared" ca="1" si="8"/>
        <v/>
      </c>
      <c r="W39" s="168" t="str">
        <f t="shared" ca="1" si="8"/>
        <v/>
      </c>
      <c r="X39" s="168" t="str">
        <f t="shared" ca="1" si="8"/>
        <v/>
      </c>
      <c r="Y39" s="168" t="str">
        <f t="shared" ca="1" si="8"/>
        <v/>
      </c>
      <c r="Z39" s="168" t="str">
        <f t="shared" ca="1" si="8"/>
        <v/>
      </c>
      <c r="AA39" s="168" t="str">
        <f t="shared" ca="1" si="8"/>
        <v/>
      </c>
      <c r="AB39" s="168" t="str">
        <f t="shared" ca="1" si="8"/>
        <v/>
      </c>
      <c r="AC39" s="168" t="str">
        <f t="shared" ca="1" si="8"/>
        <v/>
      </c>
      <c r="AD39" s="168" t="str">
        <f t="shared" ca="1" si="8"/>
        <v/>
      </c>
      <c r="AE39" s="168" t="str">
        <f t="shared" ca="1" si="8"/>
        <v/>
      </c>
      <c r="AF39" s="168" t="str">
        <f t="shared" ca="1" si="8"/>
        <v/>
      </c>
      <c r="AG39" s="168" t="str">
        <f t="shared" ca="1" si="8"/>
        <v/>
      </c>
      <c r="AH39" s="168" t="str">
        <f t="shared" ca="1" si="8"/>
        <v/>
      </c>
      <c r="AI39" s="168" t="str">
        <f t="shared" ca="1" si="8"/>
        <v/>
      </c>
    </row>
    <row r="40" spans="1:35" ht="15" x14ac:dyDescent="0.3">
      <c r="A40" s="189">
        <v>36</v>
      </c>
      <c r="B40" s="189">
        <f ca="1">OFFSET('Matriz de Riesgos'!$F$14,H40,0)</f>
        <v>0</v>
      </c>
      <c r="C40" s="189">
        <f ca="1">OFFSET('Matriz de Riesgos'!$G$8,H40,0)</f>
        <v>0</v>
      </c>
      <c r="D40" s="190">
        <f ca="1">OFFSET('Matriz de Riesgos'!$V$14,H40,0)</f>
        <v>0</v>
      </c>
      <c r="E40" s="190">
        <f ca="1">OFFSET('Matriz de Riesgos'!$W$14,H40,0)</f>
        <v>0</v>
      </c>
      <c r="F40" s="191">
        <f t="shared" ca="1" si="3"/>
        <v>0</v>
      </c>
      <c r="G40" s="168" t="str">
        <f t="shared" ca="1" si="0"/>
        <v>00</v>
      </c>
      <c r="H40" s="168">
        <f t="shared" si="5"/>
        <v>385</v>
      </c>
      <c r="J40" s="201">
        <v>36</v>
      </c>
      <c r="K40" s="168" t="str">
        <f t="shared" ca="1" si="9"/>
        <v/>
      </c>
      <c r="L40" s="168" t="str">
        <f t="shared" ca="1" si="9"/>
        <v/>
      </c>
      <c r="M40" s="168" t="str">
        <f t="shared" ca="1" si="9"/>
        <v/>
      </c>
      <c r="N40" s="168" t="str">
        <f t="shared" ca="1" si="9"/>
        <v/>
      </c>
      <c r="O40" s="168" t="str">
        <f t="shared" ca="1" si="9"/>
        <v/>
      </c>
      <c r="P40" s="168" t="str">
        <f t="shared" ca="1" si="9"/>
        <v/>
      </c>
      <c r="Q40" s="168" t="str">
        <f t="shared" ca="1" si="9"/>
        <v/>
      </c>
      <c r="R40" s="168" t="str">
        <f t="shared" ca="1" si="9"/>
        <v/>
      </c>
      <c r="S40" s="168" t="str">
        <f t="shared" ca="1" si="9"/>
        <v/>
      </c>
      <c r="T40" s="168" t="str">
        <f t="shared" ca="1" si="8"/>
        <v/>
      </c>
      <c r="U40" s="168" t="str">
        <f t="shared" ca="1" si="8"/>
        <v/>
      </c>
      <c r="V40" s="168" t="str">
        <f t="shared" ca="1" si="8"/>
        <v/>
      </c>
      <c r="W40" s="168" t="str">
        <f t="shared" ca="1" si="8"/>
        <v/>
      </c>
      <c r="X40" s="168" t="str">
        <f t="shared" ca="1" si="8"/>
        <v/>
      </c>
      <c r="Y40" s="168" t="str">
        <f t="shared" ca="1" si="8"/>
        <v/>
      </c>
      <c r="Z40" s="168" t="str">
        <f t="shared" ca="1" si="8"/>
        <v/>
      </c>
      <c r="AA40" s="168" t="str">
        <f t="shared" ca="1" si="8"/>
        <v/>
      </c>
      <c r="AB40" s="168" t="str">
        <f t="shared" ca="1" si="8"/>
        <v/>
      </c>
      <c r="AC40" s="168" t="str">
        <f t="shared" ca="1" si="8"/>
        <v/>
      </c>
      <c r="AD40" s="168" t="str">
        <f t="shared" ca="1" si="8"/>
        <v/>
      </c>
      <c r="AE40" s="168" t="str">
        <f t="shared" ca="1" si="8"/>
        <v/>
      </c>
      <c r="AF40" s="168" t="str">
        <f t="shared" ca="1" si="8"/>
        <v/>
      </c>
      <c r="AG40" s="168" t="str">
        <f t="shared" ca="1" si="8"/>
        <v/>
      </c>
      <c r="AH40" s="168" t="str">
        <f t="shared" ca="1" si="8"/>
        <v/>
      </c>
      <c r="AI40" s="168" t="str">
        <f t="shared" ca="1" si="8"/>
        <v/>
      </c>
    </row>
    <row r="41" spans="1:35" ht="15" x14ac:dyDescent="0.3">
      <c r="A41" s="189">
        <v>37</v>
      </c>
      <c r="B41" s="189">
        <f ca="1">OFFSET('Matriz de Riesgos'!$F$14,H41,0)</f>
        <v>0</v>
      </c>
      <c r="C41" s="189">
        <f ca="1">OFFSET('Matriz de Riesgos'!$G$8,H41,0)</f>
        <v>0</v>
      </c>
      <c r="D41" s="190">
        <f ca="1">OFFSET('Matriz de Riesgos'!$V$14,H41,0)</f>
        <v>0</v>
      </c>
      <c r="E41" s="190">
        <f ca="1">OFFSET('Matriz de Riesgos'!$W$14,H41,0)</f>
        <v>0</v>
      </c>
      <c r="F41" s="191">
        <f t="shared" ca="1" si="3"/>
        <v>0</v>
      </c>
      <c r="G41" s="168" t="str">
        <f t="shared" ca="1" si="0"/>
        <v>00</v>
      </c>
      <c r="H41" s="168">
        <f t="shared" si="5"/>
        <v>396</v>
      </c>
      <c r="J41" s="201">
        <v>37</v>
      </c>
      <c r="K41" s="168" t="str">
        <f t="shared" ca="1" si="9"/>
        <v/>
      </c>
      <c r="L41" s="168" t="str">
        <f t="shared" ca="1" si="9"/>
        <v/>
      </c>
      <c r="M41" s="168" t="str">
        <f t="shared" ca="1" si="9"/>
        <v/>
      </c>
      <c r="N41" s="168" t="str">
        <f t="shared" ca="1" si="9"/>
        <v/>
      </c>
      <c r="O41" s="168" t="str">
        <f t="shared" ca="1" si="9"/>
        <v/>
      </c>
      <c r="P41" s="168" t="str">
        <f t="shared" ca="1" si="9"/>
        <v/>
      </c>
      <c r="Q41" s="168" t="str">
        <f t="shared" ca="1" si="9"/>
        <v/>
      </c>
      <c r="R41" s="168" t="str">
        <f t="shared" ca="1" si="9"/>
        <v/>
      </c>
      <c r="S41" s="168" t="str">
        <f t="shared" ca="1" si="9"/>
        <v/>
      </c>
      <c r="T41" s="168" t="str">
        <f t="shared" ca="1" si="8"/>
        <v/>
      </c>
      <c r="U41" s="168" t="str">
        <f t="shared" ca="1" si="8"/>
        <v/>
      </c>
      <c r="V41" s="168" t="str">
        <f t="shared" ca="1" si="8"/>
        <v/>
      </c>
      <c r="W41" s="168" t="str">
        <f t="shared" ca="1" si="8"/>
        <v/>
      </c>
      <c r="X41" s="168" t="str">
        <f t="shared" ca="1" si="8"/>
        <v/>
      </c>
      <c r="Y41" s="168" t="str">
        <f t="shared" ca="1" si="8"/>
        <v/>
      </c>
      <c r="Z41" s="168" t="str">
        <f t="shared" ca="1" si="8"/>
        <v/>
      </c>
      <c r="AA41" s="168" t="str">
        <f t="shared" ca="1" si="8"/>
        <v/>
      </c>
      <c r="AB41" s="168" t="str">
        <f t="shared" ca="1" si="8"/>
        <v/>
      </c>
      <c r="AC41" s="168" t="str">
        <f t="shared" ca="1" si="8"/>
        <v/>
      </c>
      <c r="AD41" s="168" t="str">
        <f t="shared" ca="1" si="8"/>
        <v/>
      </c>
      <c r="AE41" s="168" t="str">
        <f t="shared" ca="1" si="8"/>
        <v/>
      </c>
      <c r="AF41" s="168" t="str">
        <f t="shared" ca="1" si="8"/>
        <v/>
      </c>
      <c r="AG41" s="168" t="str">
        <f t="shared" ca="1" si="8"/>
        <v/>
      </c>
      <c r="AH41" s="168" t="str">
        <f t="shared" ca="1" si="8"/>
        <v/>
      </c>
      <c r="AI41" s="168" t="str">
        <f t="shared" ca="1" si="8"/>
        <v/>
      </c>
    </row>
    <row r="42" spans="1:35" ht="15" x14ac:dyDescent="0.3">
      <c r="A42" s="189">
        <v>38</v>
      </c>
      <c r="B42" s="189">
        <f ca="1">OFFSET('Matriz de Riesgos'!$F$14,H42,0)</f>
        <v>0</v>
      </c>
      <c r="C42" s="189">
        <f ca="1">OFFSET('Matriz de Riesgos'!$G$8,H42,0)</f>
        <v>0</v>
      </c>
      <c r="D42" s="190">
        <f ca="1">OFFSET('Matriz de Riesgos'!$V$14,H42,0)</f>
        <v>0</v>
      </c>
      <c r="E42" s="190">
        <f ca="1">OFFSET('Matriz de Riesgos'!$W$14,H42,0)</f>
        <v>0</v>
      </c>
      <c r="F42" s="191">
        <f t="shared" ca="1" si="3"/>
        <v>0</v>
      </c>
      <c r="G42" s="168" t="str">
        <f t="shared" ca="1" si="0"/>
        <v>00</v>
      </c>
      <c r="H42" s="168">
        <f t="shared" si="5"/>
        <v>407</v>
      </c>
      <c r="J42" s="201">
        <v>38</v>
      </c>
      <c r="K42" s="168" t="str">
        <f t="shared" ca="1" si="9"/>
        <v/>
      </c>
      <c r="L42" s="168" t="str">
        <f t="shared" ca="1" si="9"/>
        <v/>
      </c>
      <c r="M42" s="168" t="str">
        <f t="shared" ca="1" si="9"/>
        <v/>
      </c>
      <c r="N42" s="168" t="str">
        <f t="shared" ca="1" si="9"/>
        <v/>
      </c>
      <c r="O42" s="168" t="str">
        <f t="shared" ca="1" si="9"/>
        <v/>
      </c>
      <c r="P42" s="168" t="str">
        <f t="shared" ca="1" si="9"/>
        <v/>
      </c>
      <c r="Q42" s="168" t="str">
        <f t="shared" ca="1" si="9"/>
        <v/>
      </c>
      <c r="R42" s="168" t="str">
        <f t="shared" ca="1" si="9"/>
        <v/>
      </c>
      <c r="S42" s="168" t="str">
        <f t="shared" ca="1" si="9"/>
        <v/>
      </c>
      <c r="T42" s="168" t="str">
        <f t="shared" ca="1" si="8"/>
        <v/>
      </c>
      <c r="U42" s="168" t="str">
        <f t="shared" ca="1" si="8"/>
        <v/>
      </c>
      <c r="V42" s="168" t="str">
        <f t="shared" ca="1" si="8"/>
        <v/>
      </c>
      <c r="W42" s="168" t="str">
        <f t="shared" ca="1" si="8"/>
        <v/>
      </c>
      <c r="X42" s="168" t="str">
        <f t="shared" ca="1" si="8"/>
        <v/>
      </c>
      <c r="Y42" s="168" t="str">
        <f t="shared" ca="1" si="8"/>
        <v/>
      </c>
      <c r="Z42" s="168" t="str">
        <f t="shared" ca="1" si="8"/>
        <v/>
      </c>
      <c r="AA42" s="168" t="str">
        <f t="shared" ca="1" si="8"/>
        <v/>
      </c>
      <c r="AB42" s="168" t="str">
        <f t="shared" ca="1" si="8"/>
        <v/>
      </c>
      <c r="AC42" s="168" t="str">
        <f t="shared" ca="1" si="8"/>
        <v/>
      </c>
      <c r="AD42" s="168" t="str">
        <f t="shared" ca="1" si="8"/>
        <v/>
      </c>
      <c r="AE42" s="168" t="str">
        <f t="shared" ca="1" si="8"/>
        <v/>
      </c>
      <c r="AF42" s="168" t="str">
        <f t="shared" ca="1" si="8"/>
        <v/>
      </c>
      <c r="AG42" s="168" t="str">
        <f t="shared" ca="1" si="8"/>
        <v/>
      </c>
      <c r="AH42" s="168" t="str">
        <f t="shared" ca="1" si="8"/>
        <v/>
      </c>
      <c r="AI42" s="168" t="str">
        <f t="shared" ca="1" si="8"/>
        <v/>
      </c>
    </row>
    <row r="43" spans="1:35" ht="15" x14ac:dyDescent="0.3">
      <c r="A43" s="189">
        <v>39</v>
      </c>
      <c r="B43" s="189">
        <f ca="1">OFFSET('Matriz de Riesgos'!$F$14,H43,0)</f>
        <v>0</v>
      </c>
      <c r="C43" s="189">
        <f ca="1">OFFSET('Matriz de Riesgos'!$G$8,H43,0)</f>
        <v>0</v>
      </c>
      <c r="D43" s="190">
        <f ca="1">OFFSET('Matriz de Riesgos'!$V$14,H43,0)</f>
        <v>0</v>
      </c>
      <c r="E43" s="190">
        <f ca="1">OFFSET('Matriz de Riesgos'!$W$14,H43,0)</f>
        <v>0</v>
      </c>
      <c r="F43" s="191">
        <f t="shared" ca="1" si="3"/>
        <v>0</v>
      </c>
      <c r="G43" s="168" t="str">
        <f t="shared" ca="1" si="0"/>
        <v>00</v>
      </c>
      <c r="H43" s="168">
        <f t="shared" si="5"/>
        <v>418</v>
      </c>
      <c r="J43" s="201">
        <v>39</v>
      </c>
      <c r="K43" s="168" t="str">
        <f t="shared" ca="1" si="9"/>
        <v/>
      </c>
      <c r="L43" s="168" t="str">
        <f t="shared" ca="1" si="9"/>
        <v/>
      </c>
      <c r="M43" s="168" t="str">
        <f t="shared" ca="1" si="9"/>
        <v/>
      </c>
      <c r="N43" s="168" t="str">
        <f t="shared" ca="1" si="9"/>
        <v/>
      </c>
      <c r="O43" s="168" t="str">
        <f t="shared" ca="1" si="9"/>
        <v/>
      </c>
      <c r="P43" s="168" t="str">
        <f t="shared" ca="1" si="9"/>
        <v/>
      </c>
      <c r="Q43" s="168" t="str">
        <f t="shared" ca="1" si="9"/>
        <v/>
      </c>
      <c r="R43" s="168" t="str">
        <f t="shared" ca="1" si="9"/>
        <v/>
      </c>
      <c r="S43" s="168" t="str">
        <f t="shared" ca="1" si="9"/>
        <v/>
      </c>
      <c r="T43" s="168" t="str">
        <f t="shared" ca="1" si="8"/>
        <v/>
      </c>
      <c r="U43" s="168" t="str">
        <f t="shared" ca="1" si="8"/>
        <v/>
      </c>
      <c r="V43" s="168" t="str">
        <f t="shared" ca="1" si="8"/>
        <v/>
      </c>
      <c r="W43" s="168" t="str">
        <f t="shared" ca="1" si="8"/>
        <v/>
      </c>
      <c r="X43" s="168" t="str">
        <f t="shared" ca="1" si="8"/>
        <v/>
      </c>
      <c r="Y43" s="168" t="str">
        <f t="shared" ca="1" si="8"/>
        <v/>
      </c>
      <c r="Z43" s="168" t="str">
        <f t="shared" ca="1" si="8"/>
        <v/>
      </c>
      <c r="AA43" s="168" t="str">
        <f t="shared" ca="1" si="8"/>
        <v/>
      </c>
      <c r="AB43" s="168" t="str">
        <f t="shared" ca="1" si="8"/>
        <v/>
      </c>
      <c r="AC43" s="168" t="str">
        <f t="shared" ca="1" si="8"/>
        <v/>
      </c>
      <c r="AD43" s="168" t="str">
        <f t="shared" ca="1" si="8"/>
        <v/>
      </c>
      <c r="AE43" s="168" t="str">
        <f t="shared" ca="1" si="8"/>
        <v/>
      </c>
      <c r="AF43" s="168" t="str">
        <f t="shared" ca="1" si="8"/>
        <v/>
      </c>
      <c r="AG43" s="168" t="str">
        <f t="shared" ca="1" si="8"/>
        <v/>
      </c>
      <c r="AH43" s="168" t="str">
        <f t="shared" ca="1" si="8"/>
        <v/>
      </c>
      <c r="AI43" s="168" t="str">
        <f t="shared" ca="1" si="8"/>
        <v/>
      </c>
    </row>
    <row r="44" spans="1:35" ht="15" x14ac:dyDescent="0.3">
      <c r="A44" s="189">
        <v>40</v>
      </c>
      <c r="B44" s="189">
        <f ca="1">OFFSET('Matriz de Riesgos'!$F$14,H44,0)</f>
        <v>0</v>
      </c>
      <c r="C44" s="189">
        <f ca="1">OFFSET('Matriz de Riesgos'!$G$8,H44,0)</f>
        <v>0</v>
      </c>
      <c r="D44" s="190">
        <f ca="1">OFFSET('Matriz de Riesgos'!$V$14,H44,0)</f>
        <v>0</v>
      </c>
      <c r="E44" s="190">
        <f ca="1">OFFSET('Matriz de Riesgos'!$W$14,H44,0)</f>
        <v>0</v>
      </c>
      <c r="F44" s="191">
        <f t="shared" ca="1" si="3"/>
        <v>0</v>
      </c>
      <c r="G44" s="168" t="str">
        <f t="shared" ca="1" si="0"/>
        <v>00</v>
      </c>
      <c r="H44" s="168">
        <f t="shared" si="5"/>
        <v>429</v>
      </c>
      <c r="J44" s="201">
        <v>40</v>
      </c>
      <c r="K44" s="168" t="str">
        <f t="shared" ca="1" si="9"/>
        <v/>
      </c>
      <c r="L44" s="168" t="str">
        <f t="shared" ca="1" si="9"/>
        <v/>
      </c>
      <c r="M44" s="168" t="str">
        <f t="shared" ca="1" si="9"/>
        <v/>
      </c>
      <c r="N44" s="168" t="str">
        <f t="shared" ca="1" si="9"/>
        <v/>
      </c>
      <c r="O44" s="168" t="str">
        <f t="shared" ca="1" si="9"/>
        <v/>
      </c>
      <c r="P44" s="168" t="str">
        <f t="shared" ca="1" si="9"/>
        <v/>
      </c>
      <c r="Q44" s="168" t="str">
        <f t="shared" ca="1" si="9"/>
        <v/>
      </c>
      <c r="R44" s="168" t="str">
        <f t="shared" ca="1" si="9"/>
        <v/>
      </c>
      <c r="S44" s="168" t="str">
        <f t="shared" ca="1" si="9"/>
        <v/>
      </c>
      <c r="T44" s="168" t="str">
        <f t="shared" ca="1" si="8"/>
        <v/>
      </c>
      <c r="U44" s="168" t="str">
        <f t="shared" ca="1" si="8"/>
        <v/>
      </c>
      <c r="V44" s="168" t="str">
        <f t="shared" ca="1" si="8"/>
        <v/>
      </c>
      <c r="W44" s="168" t="str">
        <f t="shared" ca="1" si="8"/>
        <v/>
      </c>
      <c r="X44" s="168" t="str">
        <f t="shared" ca="1" si="8"/>
        <v/>
      </c>
      <c r="Y44" s="168" t="str">
        <f t="shared" ca="1" si="8"/>
        <v/>
      </c>
      <c r="Z44" s="168" t="str">
        <f t="shared" ca="1" si="8"/>
        <v/>
      </c>
      <c r="AA44" s="168" t="str">
        <f t="shared" ca="1" si="8"/>
        <v/>
      </c>
      <c r="AB44" s="168" t="str">
        <f t="shared" ca="1" si="8"/>
        <v/>
      </c>
      <c r="AC44" s="168" t="str">
        <f t="shared" ca="1" si="8"/>
        <v/>
      </c>
      <c r="AD44" s="168" t="str">
        <f t="shared" ca="1" si="8"/>
        <v/>
      </c>
      <c r="AE44" s="168" t="str">
        <f t="shared" ca="1" si="8"/>
        <v/>
      </c>
      <c r="AF44" s="168" t="str">
        <f t="shared" ca="1" si="8"/>
        <v/>
      </c>
      <c r="AG44" s="168" t="str">
        <f t="shared" ca="1" si="8"/>
        <v/>
      </c>
      <c r="AH44" s="168" t="str">
        <f t="shared" ca="1" si="8"/>
        <v/>
      </c>
      <c r="AI44" s="168" t="str">
        <f t="shared" ca="1" si="8"/>
        <v/>
      </c>
    </row>
    <row r="45" spans="1:35" ht="15" x14ac:dyDescent="0.3">
      <c r="A45" s="189">
        <v>41</v>
      </c>
      <c r="B45" s="189">
        <f ca="1">OFFSET('Matriz de Riesgos'!$F$14,H45,0)</f>
        <v>0</v>
      </c>
      <c r="C45" s="189">
        <f ca="1">OFFSET('Matriz de Riesgos'!$G$8,H45,0)</f>
        <v>0</v>
      </c>
      <c r="D45" s="190">
        <f ca="1">OFFSET('Matriz de Riesgos'!$V$14,H45,0)</f>
        <v>0</v>
      </c>
      <c r="E45" s="190">
        <f ca="1">OFFSET('Matriz de Riesgos'!$W$14,H45,0)</f>
        <v>0</v>
      </c>
      <c r="F45" s="191">
        <f t="shared" ca="1" si="3"/>
        <v>0</v>
      </c>
      <c r="G45" s="168" t="str">
        <f t="shared" ca="1" si="0"/>
        <v>00</v>
      </c>
      <c r="H45" s="168">
        <f t="shared" si="5"/>
        <v>440</v>
      </c>
      <c r="J45" s="201">
        <v>41</v>
      </c>
      <c r="K45" s="168" t="str">
        <f t="shared" ca="1" si="9"/>
        <v/>
      </c>
      <c r="L45" s="168" t="str">
        <f t="shared" ca="1" si="9"/>
        <v/>
      </c>
      <c r="M45" s="168" t="str">
        <f t="shared" ca="1" si="9"/>
        <v/>
      </c>
      <c r="N45" s="168" t="str">
        <f t="shared" ca="1" si="9"/>
        <v/>
      </c>
      <c r="O45" s="168" t="str">
        <f t="shared" ca="1" si="9"/>
        <v/>
      </c>
      <c r="P45" s="168" t="str">
        <f t="shared" ca="1" si="9"/>
        <v/>
      </c>
      <c r="Q45" s="168" t="str">
        <f t="shared" ca="1" si="9"/>
        <v/>
      </c>
      <c r="R45" s="168" t="str">
        <f t="shared" ca="1" si="9"/>
        <v/>
      </c>
      <c r="S45" s="168" t="str">
        <f t="shared" ca="1" si="9"/>
        <v/>
      </c>
      <c r="T45" s="168" t="str">
        <f t="shared" ca="1" si="8"/>
        <v/>
      </c>
      <c r="U45" s="168" t="str">
        <f t="shared" ca="1" si="8"/>
        <v/>
      </c>
      <c r="V45" s="168" t="str">
        <f t="shared" ca="1" si="8"/>
        <v/>
      </c>
      <c r="W45" s="168" t="str">
        <f t="shared" ca="1" si="8"/>
        <v/>
      </c>
      <c r="X45" s="168" t="str">
        <f t="shared" ca="1" si="8"/>
        <v/>
      </c>
      <c r="Y45" s="168" t="str">
        <f t="shared" ca="1" si="8"/>
        <v/>
      </c>
      <c r="Z45" s="168" t="str">
        <f t="shared" ca="1" si="8"/>
        <v/>
      </c>
      <c r="AA45" s="168" t="str">
        <f t="shared" ca="1" si="8"/>
        <v/>
      </c>
      <c r="AB45" s="168" t="str">
        <f t="shared" ca="1" si="8"/>
        <v/>
      </c>
      <c r="AC45" s="168" t="str">
        <f t="shared" ca="1" si="8"/>
        <v/>
      </c>
      <c r="AD45" s="168" t="str">
        <f t="shared" ca="1" si="8"/>
        <v/>
      </c>
      <c r="AE45" s="168" t="str">
        <f t="shared" ca="1" si="8"/>
        <v/>
      </c>
      <c r="AF45" s="168" t="str">
        <f t="shared" ca="1" si="8"/>
        <v/>
      </c>
      <c r="AG45" s="168" t="str">
        <f t="shared" ca="1" si="8"/>
        <v/>
      </c>
      <c r="AH45" s="168" t="str">
        <f t="shared" ca="1" si="8"/>
        <v/>
      </c>
      <c r="AI45" s="168" t="str">
        <f t="shared" ca="1" si="8"/>
        <v/>
      </c>
    </row>
    <row r="46" spans="1:35" ht="15" x14ac:dyDescent="0.3">
      <c r="A46" s="189">
        <v>42</v>
      </c>
      <c r="B46" s="189">
        <f ca="1">OFFSET('Matriz de Riesgos'!$F$14,H46,0)</f>
        <v>0</v>
      </c>
      <c r="C46" s="189">
        <f ca="1">OFFSET('Matriz de Riesgos'!$G$8,H46,0)</f>
        <v>0</v>
      </c>
      <c r="D46" s="190">
        <f ca="1">OFFSET('Matriz de Riesgos'!$V$14,H46,0)</f>
        <v>0</v>
      </c>
      <c r="E46" s="190">
        <f ca="1">OFFSET('Matriz de Riesgos'!$W$14,H46,0)</f>
        <v>0</v>
      </c>
      <c r="F46" s="191">
        <f t="shared" ca="1" si="3"/>
        <v>0</v>
      </c>
      <c r="G46" s="168" t="str">
        <f t="shared" ca="1" si="0"/>
        <v>00</v>
      </c>
      <c r="H46" s="168">
        <f t="shared" si="5"/>
        <v>451</v>
      </c>
      <c r="J46" s="201">
        <v>42</v>
      </c>
      <c r="K46" s="168" t="str">
        <f t="shared" ca="1" si="9"/>
        <v/>
      </c>
      <c r="L46" s="168" t="str">
        <f t="shared" ca="1" si="9"/>
        <v/>
      </c>
      <c r="M46" s="168" t="str">
        <f t="shared" ca="1" si="9"/>
        <v/>
      </c>
      <c r="N46" s="168" t="str">
        <f t="shared" ca="1" si="9"/>
        <v/>
      </c>
      <c r="O46" s="168" t="str">
        <f t="shared" ca="1" si="9"/>
        <v/>
      </c>
      <c r="P46" s="168" t="str">
        <f t="shared" ca="1" si="9"/>
        <v/>
      </c>
      <c r="Q46" s="168" t="str">
        <f t="shared" ca="1" si="9"/>
        <v/>
      </c>
      <c r="R46" s="168" t="str">
        <f t="shared" ca="1" si="9"/>
        <v/>
      </c>
      <c r="S46" s="168" t="str">
        <f t="shared" ca="1" si="9"/>
        <v/>
      </c>
      <c r="T46" s="168" t="str">
        <f t="shared" ca="1" si="8"/>
        <v/>
      </c>
      <c r="U46" s="168" t="str">
        <f t="shared" ca="1" si="8"/>
        <v/>
      </c>
      <c r="V46" s="168" t="str">
        <f t="shared" ca="1" si="8"/>
        <v/>
      </c>
      <c r="W46" s="168" t="str">
        <f t="shared" ca="1" si="8"/>
        <v/>
      </c>
      <c r="X46" s="168" t="str">
        <f t="shared" ca="1" si="8"/>
        <v/>
      </c>
      <c r="Y46" s="168" t="str">
        <f t="shared" ca="1" si="8"/>
        <v/>
      </c>
      <c r="Z46" s="168" t="str">
        <f t="shared" ca="1" si="8"/>
        <v/>
      </c>
      <c r="AA46" s="168" t="str">
        <f t="shared" ca="1" si="8"/>
        <v/>
      </c>
      <c r="AB46" s="168" t="str">
        <f t="shared" ca="1" si="8"/>
        <v/>
      </c>
      <c r="AC46" s="168" t="str">
        <f t="shared" ca="1" si="8"/>
        <v/>
      </c>
      <c r="AD46" s="168" t="str">
        <f t="shared" ca="1" si="8"/>
        <v/>
      </c>
      <c r="AE46" s="168" t="str">
        <f t="shared" ca="1" si="8"/>
        <v/>
      </c>
      <c r="AF46" s="168" t="str">
        <f t="shared" ca="1" si="8"/>
        <v/>
      </c>
      <c r="AG46" s="168" t="str">
        <f t="shared" ca="1" si="8"/>
        <v/>
      </c>
      <c r="AH46" s="168" t="str">
        <f t="shared" ca="1" si="8"/>
        <v/>
      </c>
      <c r="AI46" s="168" t="str">
        <f t="shared" ca="1" si="8"/>
        <v/>
      </c>
    </row>
    <row r="47" spans="1:35" ht="15" x14ac:dyDescent="0.3">
      <c r="A47" s="189">
        <v>43</v>
      </c>
      <c r="B47" s="189">
        <f ca="1">OFFSET('Matriz de Riesgos'!$F$14,H47,0)</f>
        <v>0</v>
      </c>
      <c r="C47" s="189">
        <f ca="1">OFFSET('Matriz de Riesgos'!$G$8,H47,0)</f>
        <v>0</v>
      </c>
      <c r="D47" s="190">
        <f ca="1">OFFSET('Matriz de Riesgos'!$V$14,H47,0)</f>
        <v>0</v>
      </c>
      <c r="E47" s="190">
        <f ca="1">OFFSET('Matriz de Riesgos'!$W$14,H47,0)</f>
        <v>0</v>
      </c>
      <c r="F47" s="191">
        <f t="shared" ca="1" si="3"/>
        <v>0</v>
      </c>
      <c r="G47" s="168" t="str">
        <f t="shared" ca="1" si="0"/>
        <v>00</v>
      </c>
      <c r="H47" s="168">
        <f t="shared" si="5"/>
        <v>462</v>
      </c>
      <c r="J47" s="201">
        <v>43</v>
      </c>
      <c r="K47" s="168" t="str">
        <f t="shared" ca="1" si="9"/>
        <v/>
      </c>
      <c r="L47" s="168" t="str">
        <f t="shared" ca="1" si="9"/>
        <v/>
      </c>
      <c r="M47" s="168" t="str">
        <f t="shared" ca="1" si="9"/>
        <v/>
      </c>
      <c r="N47" s="168" t="str">
        <f t="shared" ca="1" si="9"/>
        <v/>
      </c>
      <c r="O47" s="168" t="str">
        <f t="shared" ca="1" si="9"/>
        <v/>
      </c>
      <c r="P47" s="168" t="str">
        <f t="shared" ca="1" si="9"/>
        <v/>
      </c>
      <c r="Q47" s="168" t="str">
        <f t="shared" ca="1" si="9"/>
        <v/>
      </c>
      <c r="R47" s="168" t="str">
        <f t="shared" ca="1" si="9"/>
        <v/>
      </c>
      <c r="S47" s="168" t="str">
        <f t="shared" ca="1" si="9"/>
        <v/>
      </c>
      <c r="T47" s="168" t="str">
        <f t="shared" ca="1" si="8"/>
        <v/>
      </c>
      <c r="U47" s="168" t="str">
        <f t="shared" ca="1" si="8"/>
        <v/>
      </c>
      <c r="V47" s="168" t="str">
        <f t="shared" ca="1" si="8"/>
        <v/>
      </c>
      <c r="W47" s="168" t="str">
        <f t="shared" ca="1" si="8"/>
        <v/>
      </c>
      <c r="X47" s="168" t="str">
        <f t="shared" ca="1" si="8"/>
        <v/>
      </c>
      <c r="Y47" s="168" t="str">
        <f t="shared" ca="1" si="8"/>
        <v/>
      </c>
      <c r="Z47" s="168" t="str">
        <f t="shared" ca="1" si="8"/>
        <v/>
      </c>
      <c r="AA47" s="168" t="str">
        <f t="shared" ca="1" si="8"/>
        <v/>
      </c>
      <c r="AB47" s="168" t="str">
        <f t="shared" ca="1" si="8"/>
        <v/>
      </c>
      <c r="AC47" s="168" t="str">
        <f t="shared" ca="1" si="8"/>
        <v/>
      </c>
      <c r="AD47" s="168" t="str">
        <f t="shared" ca="1" si="8"/>
        <v/>
      </c>
      <c r="AE47" s="168" t="str">
        <f t="shared" ca="1" si="8"/>
        <v/>
      </c>
      <c r="AF47" s="168" t="str">
        <f t="shared" ca="1" si="8"/>
        <v/>
      </c>
      <c r="AG47" s="168" t="str">
        <f t="shared" ca="1" si="8"/>
        <v/>
      </c>
      <c r="AH47" s="168" t="str">
        <f t="shared" ca="1" si="8"/>
        <v/>
      </c>
      <c r="AI47" s="168" t="str">
        <f t="shared" ca="1" si="8"/>
        <v/>
      </c>
    </row>
    <row r="48" spans="1:35" ht="15" x14ac:dyDescent="0.3">
      <c r="A48" s="189">
        <v>44</v>
      </c>
      <c r="B48" s="189">
        <f ca="1">OFFSET('Matriz de Riesgos'!$F$14,H48,0)</f>
        <v>0</v>
      </c>
      <c r="C48" s="189">
        <f ca="1">OFFSET('Matriz de Riesgos'!$G$8,H48,0)</f>
        <v>0</v>
      </c>
      <c r="D48" s="190">
        <f ca="1">OFFSET('Matriz de Riesgos'!$V$14,H48,0)</f>
        <v>0</v>
      </c>
      <c r="E48" s="190">
        <f ca="1">OFFSET('Matriz de Riesgos'!$W$14,H48,0)</f>
        <v>0</v>
      </c>
      <c r="F48" s="191">
        <f t="shared" ca="1" si="3"/>
        <v>0</v>
      </c>
      <c r="G48" s="168" t="str">
        <f t="shared" ca="1" si="0"/>
        <v>00</v>
      </c>
      <c r="H48" s="168">
        <f t="shared" si="5"/>
        <v>473</v>
      </c>
      <c r="J48" s="201">
        <v>44</v>
      </c>
      <c r="K48" s="168" t="str">
        <f t="shared" ca="1" si="9"/>
        <v/>
      </c>
      <c r="L48" s="168" t="str">
        <f t="shared" ca="1" si="9"/>
        <v/>
      </c>
      <c r="M48" s="168" t="str">
        <f t="shared" ca="1" si="9"/>
        <v/>
      </c>
      <c r="N48" s="168" t="str">
        <f t="shared" ca="1" si="9"/>
        <v/>
      </c>
      <c r="O48" s="168" t="str">
        <f t="shared" ca="1" si="9"/>
        <v/>
      </c>
      <c r="P48" s="168" t="str">
        <f t="shared" ca="1" si="9"/>
        <v/>
      </c>
      <c r="Q48" s="168" t="str">
        <f t="shared" ca="1" si="9"/>
        <v/>
      </c>
      <c r="R48" s="168" t="str">
        <f t="shared" ca="1" si="9"/>
        <v/>
      </c>
      <c r="S48" s="168" t="str">
        <f t="shared" ca="1" si="9"/>
        <v/>
      </c>
      <c r="T48" s="168" t="str">
        <f t="shared" ca="1" si="8"/>
        <v/>
      </c>
      <c r="U48" s="168" t="str">
        <f t="shared" ca="1" si="8"/>
        <v/>
      </c>
      <c r="V48" s="168" t="str">
        <f t="shared" ca="1" si="8"/>
        <v/>
      </c>
      <c r="W48" s="168" t="str">
        <f t="shared" ca="1" si="8"/>
        <v/>
      </c>
      <c r="X48" s="168" t="str">
        <f t="shared" ca="1" si="8"/>
        <v/>
      </c>
      <c r="Y48" s="168" t="str">
        <f t="shared" ca="1" si="8"/>
        <v/>
      </c>
      <c r="Z48" s="168" t="str">
        <f t="shared" ca="1" si="8"/>
        <v/>
      </c>
      <c r="AA48" s="168" t="str">
        <f t="shared" ca="1" si="8"/>
        <v/>
      </c>
      <c r="AB48" s="168" t="str">
        <f t="shared" ca="1" si="8"/>
        <v/>
      </c>
      <c r="AC48" s="168" t="str">
        <f t="shared" ca="1" si="8"/>
        <v/>
      </c>
      <c r="AD48" s="168" t="str">
        <f t="shared" ca="1" si="8"/>
        <v/>
      </c>
      <c r="AE48" s="168" t="str">
        <f t="shared" ca="1" si="8"/>
        <v/>
      </c>
      <c r="AF48" s="168" t="str">
        <f t="shared" ca="1" si="8"/>
        <v/>
      </c>
      <c r="AG48" s="168" t="str">
        <f t="shared" ca="1" si="8"/>
        <v/>
      </c>
      <c r="AH48" s="168" t="str">
        <f t="shared" ca="1" si="8"/>
        <v/>
      </c>
      <c r="AI48" s="168" t="str">
        <f t="shared" ca="1" si="8"/>
        <v/>
      </c>
    </row>
    <row r="49" spans="1:36" ht="15" x14ac:dyDescent="0.3">
      <c r="A49" s="189">
        <v>45</v>
      </c>
      <c r="B49" s="189">
        <f ca="1">OFFSET('Matriz de Riesgos'!$F$14,H49,0)</f>
        <v>0</v>
      </c>
      <c r="C49" s="189">
        <f ca="1">OFFSET('Matriz de Riesgos'!$G$8,H49,0)</f>
        <v>0</v>
      </c>
      <c r="D49" s="190">
        <f ca="1">OFFSET('Matriz de Riesgos'!$V$14,H49,0)</f>
        <v>0</v>
      </c>
      <c r="E49" s="190">
        <f ca="1">OFFSET('Matriz de Riesgos'!$W$14,H49,0)</f>
        <v>0</v>
      </c>
      <c r="F49" s="191">
        <f t="shared" ca="1" si="3"/>
        <v>0</v>
      </c>
      <c r="G49" s="168" t="str">
        <f t="shared" ca="1" si="0"/>
        <v>00</v>
      </c>
      <c r="H49" s="168">
        <f t="shared" si="5"/>
        <v>484</v>
      </c>
      <c r="J49" s="201">
        <v>45</v>
      </c>
      <c r="K49" s="168" t="str">
        <f t="shared" ca="1" si="9"/>
        <v/>
      </c>
      <c r="L49" s="168" t="str">
        <f t="shared" ca="1" si="9"/>
        <v/>
      </c>
      <c r="M49" s="168" t="str">
        <f t="shared" ca="1" si="9"/>
        <v/>
      </c>
      <c r="N49" s="168" t="str">
        <f t="shared" ca="1" si="9"/>
        <v/>
      </c>
      <c r="O49" s="168" t="str">
        <f t="shared" ca="1" si="9"/>
        <v/>
      </c>
      <c r="P49" s="168" t="str">
        <f t="shared" ca="1" si="9"/>
        <v/>
      </c>
      <c r="Q49" s="168" t="str">
        <f t="shared" ca="1" si="9"/>
        <v/>
      </c>
      <c r="R49" s="168" t="str">
        <f t="shared" ca="1" si="9"/>
        <v/>
      </c>
      <c r="S49" s="168" t="str">
        <f t="shared" ca="1" si="9"/>
        <v/>
      </c>
      <c r="T49" s="168" t="str">
        <f t="shared" ca="1" si="8"/>
        <v/>
      </c>
      <c r="U49" s="168" t="str">
        <f t="shared" ca="1" si="8"/>
        <v/>
      </c>
      <c r="V49" s="168" t="str">
        <f t="shared" ca="1" si="8"/>
        <v/>
      </c>
      <c r="W49" s="168" t="str">
        <f t="shared" ca="1" si="8"/>
        <v/>
      </c>
      <c r="X49" s="168" t="str">
        <f t="shared" ca="1" si="8"/>
        <v/>
      </c>
      <c r="Y49" s="168" t="str">
        <f t="shared" ca="1" si="8"/>
        <v/>
      </c>
      <c r="Z49" s="168" t="str">
        <f t="shared" ca="1" si="8"/>
        <v/>
      </c>
      <c r="AA49" s="168" t="str">
        <f t="shared" ca="1" si="8"/>
        <v/>
      </c>
      <c r="AB49" s="168" t="str">
        <f t="shared" ca="1" si="8"/>
        <v/>
      </c>
      <c r="AC49" s="168" t="str">
        <f t="shared" ca="1" si="8"/>
        <v/>
      </c>
      <c r="AD49" s="168" t="str">
        <f t="shared" ca="1" si="8"/>
        <v/>
      </c>
      <c r="AE49" s="168" t="str">
        <f t="shared" ca="1" si="8"/>
        <v/>
      </c>
      <c r="AF49" s="168" t="str">
        <f t="shared" ca="1" si="8"/>
        <v/>
      </c>
      <c r="AG49" s="168" t="str">
        <f t="shared" ca="1" si="8"/>
        <v/>
      </c>
      <c r="AH49" s="168" t="str">
        <f t="shared" ca="1" si="8"/>
        <v/>
      </c>
      <c r="AI49" s="168" t="str">
        <f t="shared" ca="1" si="8"/>
        <v/>
      </c>
    </row>
    <row r="50" spans="1:36" ht="15" x14ac:dyDescent="0.3">
      <c r="A50" s="189">
        <v>46</v>
      </c>
      <c r="B50" s="189">
        <f ca="1">OFFSET('Matriz de Riesgos'!$F$14,H50,0)</f>
        <v>0</v>
      </c>
      <c r="C50" s="189">
        <f ca="1">OFFSET('Matriz de Riesgos'!$G$8,H50,0)</f>
        <v>0</v>
      </c>
      <c r="D50" s="190">
        <f ca="1">OFFSET('Matriz de Riesgos'!$V$14,H50,0)</f>
        <v>0</v>
      </c>
      <c r="E50" s="190">
        <f ca="1">OFFSET('Matriz de Riesgos'!$W$14,H50,0)</f>
        <v>0</v>
      </c>
      <c r="F50" s="191">
        <f t="shared" ca="1" si="3"/>
        <v>0</v>
      </c>
      <c r="G50" s="168" t="str">
        <f t="shared" ca="1" si="0"/>
        <v>00</v>
      </c>
      <c r="H50" s="168">
        <f t="shared" si="5"/>
        <v>495</v>
      </c>
      <c r="J50" s="201">
        <v>46</v>
      </c>
      <c r="K50" s="168" t="str">
        <f t="shared" ca="1" si="9"/>
        <v/>
      </c>
      <c r="L50" s="168" t="str">
        <f t="shared" ca="1" si="9"/>
        <v/>
      </c>
      <c r="M50" s="168" t="str">
        <f t="shared" ca="1" si="9"/>
        <v/>
      </c>
      <c r="N50" s="168" t="str">
        <f t="shared" ca="1" si="9"/>
        <v/>
      </c>
      <c r="O50" s="168" t="str">
        <f t="shared" ca="1" si="9"/>
        <v/>
      </c>
      <c r="P50" s="168" t="str">
        <f t="shared" ca="1" si="9"/>
        <v/>
      </c>
      <c r="Q50" s="168" t="str">
        <f t="shared" ca="1" si="9"/>
        <v/>
      </c>
      <c r="R50" s="168" t="str">
        <f t="shared" ca="1" si="9"/>
        <v/>
      </c>
      <c r="S50" s="168" t="str">
        <f t="shared" ca="1" si="9"/>
        <v/>
      </c>
      <c r="T50" s="168" t="str">
        <f t="shared" ca="1" si="8"/>
        <v/>
      </c>
      <c r="U50" s="168" t="str">
        <f t="shared" ca="1" si="8"/>
        <v/>
      </c>
      <c r="V50" s="168" t="str">
        <f t="shared" ca="1" si="8"/>
        <v/>
      </c>
      <c r="W50" s="168" t="str">
        <f t="shared" ca="1" si="8"/>
        <v/>
      </c>
      <c r="X50" s="168" t="str">
        <f t="shared" ca="1" si="8"/>
        <v/>
      </c>
      <c r="Y50" s="168" t="str">
        <f t="shared" ca="1" si="8"/>
        <v/>
      </c>
      <c r="Z50" s="168" t="str">
        <f t="shared" ca="1" si="8"/>
        <v/>
      </c>
      <c r="AA50" s="168" t="str">
        <f t="shared" ca="1" si="8"/>
        <v/>
      </c>
      <c r="AB50" s="168" t="str">
        <f t="shared" ca="1" si="8"/>
        <v/>
      </c>
      <c r="AC50" s="168" t="str">
        <f t="shared" ca="1" si="8"/>
        <v/>
      </c>
      <c r="AD50" s="168" t="str">
        <f t="shared" ca="1" si="8"/>
        <v/>
      </c>
      <c r="AE50" s="168" t="str">
        <f t="shared" ca="1" si="8"/>
        <v/>
      </c>
      <c r="AF50" s="168" t="str">
        <f t="shared" ca="1" si="8"/>
        <v/>
      </c>
      <c r="AG50" s="168" t="str">
        <f t="shared" ca="1" si="8"/>
        <v/>
      </c>
      <c r="AH50" s="168" t="str">
        <f t="shared" ca="1" si="8"/>
        <v/>
      </c>
      <c r="AI50" s="168" t="str">
        <f t="shared" ca="1" si="8"/>
        <v/>
      </c>
    </row>
    <row r="51" spans="1:36" ht="15" x14ac:dyDescent="0.3">
      <c r="A51" s="189">
        <v>47</v>
      </c>
      <c r="B51" s="189">
        <f ca="1">OFFSET('Matriz de Riesgos'!$F$14,H51,0)</f>
        <v>0</v>
      </c>
      <c r="C51" s="189">
        <f ca="1">OFFSET('Matriz de Riesgos'!$G$8,H51,0)</f>
        <v>0</v>
      </c>
      <c r="D51" s="190">
        <f ca="1">OFFSET('Matriz de Riesgos'!$V$14,H51,0)</f>
        <v>0</v>
      </c>
      <c r="E51" s="190">
        <f ca="1">OFFSET('Matriz de Riesgos'!$W$14,H51,0)</f>
        <v>0</v>
      </c>
      <c r="F51" s="191">
        <f t="shared" ca="1" si="3"/>
        <v>0</v>
      </c>
      <c r="G51" s="168" t="str">
        <f t="shared" ca="1" si="0"/>
        <v>00</v>
      </c>
      <c r="H51" s="168">
        <f t="shared" si="5"/>
        <v>506</v>
      </c>
      <c r="J51" s="201">
        <v>47</v>
      </c>
      <c r="K51" s="168" t="str">
        <f t="shared" ca="1" si="9"/>
        <v/>
      </c>
      <c r="L51" s="168" t="str">
        <f t="shared" ca="1" si="9"/>
        <v/>
      </c>
      <c r="M51" s="168" t="str">
        <f t="shared" ca="1" si="9"/>
        <v/>
      </c>
      <c r="N51" s="168" t="str">
        <f t="shared" ca="1" si="9"/>
        <v/>
      </c>
      <c r="O51" s="168" t="str">
        <f t="shared" ca="1" si="9"/>
        <v/>
      </c>
      <c r="P51" s="168" t="str">
        <f t="shared" ca="1" si="9"/>
        <v/>
      </c>
      <c r="Q51" s="168" t="str">
        <f t="shared" ca="1" si="9"/>
        <v/>
      </c>
      <c r="R51" s="168" t="str">
        <f t="shared" ca="1" si="9"/>
        <v/>
      </c>
      <c r="S51" s="168" t="str">
        <f t="shared" ca="1" si="9"/>
        <v/>
      </c>
      <c r="T51" s="168" t="str">
        <f t="shared" ca="1" si="8"/>
        <v/>
      </c>
      <c r="U51" s="168" t="str">
        <f t="shared" ca="1" si="8"/>
        <v/>
      </c>
      <c r="V51" s="168" t="str">
        <f t="shared" ca="1" si="8"/>
        <v/>
      </c>
      <c r="W51" s="168" t="str">
        <f t="shared" ca="1" si="8"/>
        <v/>
      </c>
      <c r="X51" s="168" t="str">
        <f t="shared" ca="1" si="8"/>
        <v/>
      </c>
      <c r="Y51" s="168" t="str">
        <f t="shared" ca="1" si="8"/>
        <v/>
      </c>
      <c r="Z51" s="168" t="str">
        <f t="shared" ca="1" si="8"/>
        <v/>
      </c>
      <c r="AA51" s="168" t="str">
        <f t="shared" ca="1" si="8"/>
        <v/>
      </c>
      <c r="AB51" s="168" t="str">
        <f t="shared" ca="1" si="8"/>
        <v/>
      </c>
      <c r="AC51" s="168" t="str">
        <f t="shared" ca="1" si="8"/>
        <v/>
      </c>
      <c r="AD51" s="168" t="str">
        <f t="shared" ca="1" si="8"/>
        <v/>
      </c>
      <c r="AE51" s="168" t="str">
        <f t="shared" ca="1" si="8"/>
        <v/>
      </c>
      <c r="AF51" s="168" t="str">
        <f t="shared" ca="1" si="8"/>
        <v/>
      </c>
      <c r="AG51" s="168" t="str">
        <f t="shared" ca="1" si="8"/>
        <v/>
      </c>
      <c r="AH51" s="168" t="str">
        <f t="shared" ca="1" si="8"/>
        <v/>
      </c>
      <c r="AI51" s="168" t="str">
        <f t="shared" ca="1" si="8"/>
        <v/>
      </c>
    </row>
    <row r="52" spans="1:36" ht="15" x14ac:dyDescent="0.3">
      <c r="A52" s="189">
        <v>48</v>
      </c>
      <c r="B52" s="189">
        <f ca="1">OFFSET('Matriz de Riesgos'!$F$14,H52,0)</f>
        <v>0</v>
      </c>
      <c r="C52" s="189">
        <f ca="1">OFFSET('Matriz de Riesgos'!$G$8,H52,0)</f>
        <v>0</v>
      </c>
      <c r="D52" s="190">
        <f ca="1">OFFSET('Matriz de Riesgos'!$V$14,H52,0)</f>
        <v>0</v>
      </c>
      <c r="E52" s="190">
        <f ca="1">OFFSET('Matriz de Riesgos'!$W$14,H52,0)</f>
        <v>0</v>
      </c>
      <c r="F52" s="191">
        <f t="shared" ca="1" si="3"/>
        <v>0</v>
      </c>
      <c r="G52" s="168" t="str">
        <f t="shared" ca="1" si="0"/>
        <v>00</v>
      </c>
      <c r="H52" s="168">
        <f t="shared" si="5"/>
        <v>517</v>
      </c>
      <c r="J52" s="201">
        <v>48</v>
      </c>
      <c r="K52" s="168" t="str">
        <f t="shared" ca="1" si="9"/>
        <v/>
      </c>
      <c r="L52" s="168" t="str">
        <f t="shared" ca="1" si="9"/>
        <v/>
      </c>
      <c r="M52" s="168" t="str">
        <f t="shared" ca="1" si="9"/>
        <v/>
      </c>
      <c r="N52" s="168" t="str">
        <f t="shared" ca="1" si="9"/>
        <v/>
      </c>
      <c r="O52" s="168" t="str">
        <f t="shared" ca="1" si="9"/>
        <v/>
      </c>
      <c r="P52" s="168" t="str">
        <f t="shared" ca="1" si="9"/>
        <v/>
      </c>
      <c r="Q52" s="168" t="str">
        <f t="shared" ca="1" si="9"/>
        <v/>
      </c>
      <c r="R52" s="168" t="str">
        <f t="shared" ca="1" si="9"/>
        <v/>
      </c>
      <c r="S52" s="168" t="str">
        <f t="shared" ca="1" si="9"/>
        <v/>
      </c>
      <c r="T52" s="168" t="str">
        <f t="shared" ca="1" si="8"/>
        <v/>
      </c>
      <c r="U52" s="168" t="str">
        <f t="shared" ca="1" si="8"/>
        <v/>
      </c>
      <c r="V52" s="168" t="str">
        <f t="shared" ca="1" si="8"/>
        <v/>
      </c>
      <c r="W52" s="168" t="str">
        <f t="shared" ca="1" si="8"/>
        <v/>
      </c>
      <c r="X52" s="168" t="str">
        <f t="shared" ca="1" si="8"/>
        <v/>
      </c>
      <c r="Y52" s="168" t="str">
        <f t="shared" ca="1" si="8"/>
        <v/>
      </c>
      <c r="Z52" s="168" t="str">
        <f t="shared" ca="1" si="8"/>
        <v/>
      </c>
      <c r="AA52" s="168" t="str">
        <f t="shared" ca="1" si="8"/>
        <v/>
      </c>
      <c r="AB52" s="168" t="str">
        <f t="shared" ca="1" si="8"/>
        <v/>
      </c>
      <c r="AC52" s="168" t="str">
        <f t="shared" ca="1" si="8"/>
        <v/>
      </c>
      <c r="AD52" s="168" t="str">
        <f t="shared" ca="1" si="8"/>
        <v/>
      </c>
      <c r="AE52" s="168" t="str">
        <f t="shared" ca="1" si="8"/>
        <v/>
      </c>
      <c r="AF52" s="168" t="str">
        <f t="shared" ca="1" si="8"/>
        <v/>
      </c>
      <c r="AG52" s="168" t="str">
        <f t="shared" ca="1" si="8"/>
        <v/>
      </c>
      <c r="AH52" s="168" t="str">
        <f t="shared" ca="1" si="8"/>
        <v/>
      </c>
      <c r="AI52" s="168" t="str">
        <f t="shared" ca="1" si="8"/>
        <v/>
      </c>
    </row>
    <row r="53" spans="1:36" ht="15" x14ac:dyDescent="0.3">
      <c r="A53" s="189">
        <v>49</v>
      </c>
      <c r="B53" s="189">
        <f ca="1">OFFSET('Matriz de Riesgos'!$F$14,H53,0)</f>
        <v>0</v>
      </c>
      <c r="C53" s="189">
        <f ca="1">OFFSET('Matriz de Riesgos'!$G$8,H53,0)</f>
        <v>0</v>
      </c>
      <c r="D53" s="190">
        <f ca="1">OFFSET('Matriz de Riesgos'!$V$14,H53,0)</f>
        <v>0</v>
      </c>
      <c r="E53" s="190">
        <f ca="1">OFFSET('Matriz de Riesgos'!$W$14,H53,0)</f>
        <v>0</v>
      </c>
      <c r="F53" s="191">
        <f t="shared" ca="1" si="3"/>
        <v>0</v>
      </c>
      <c r="G53" s="168" t="str">
        <f t="shared" ca="1" si="0"/>
        <v>00</v>
      </c>
      <c r="H53" s="168">
        <f t="shared" si="5"/>
        <v>528</v>
      </c>
      <c r="J53" s="201">
        <v>49</v>
      </c>
      <c r="K53" s="168" t="str">
        <f t="shared" ca="1" si="9"/>
        <v/>
      </c>
      <c r="L53" s="168" t="str">
        <f t="shared" ca="1" si="9"/>
        <v/>
      </c>
      <c r="M53" s="168" t="str">
        <f t="shared" ca="1" si="9"/>
        <v/>
      </c>
      <c r="N53" s="168" t="str">
        <f t="shared" ca="1" si="9"/>
        <v/>
      </c>
      <c r="O53" s="168" t="str">
        <f t="shared" ca="1" si="9"/>
        <v/>
      </c>
      <c r="P53" s="168" t="str">
        <f t="shared" ca="1" si="9"/>
        <v/>
      </c>
      <c r="Q53" s="168" t="str">
        <f t="shared" ca="1" si="9"/>
        <v/>
      </c>
      <c r="R53" s="168" t="str">
        <f t="shared" ca="1" si="9"/>
        <v/>
      </c>
      <c r="S53" s="168" t="str">
        <f t="shared" ca="1" si="9"/>
        <v/>
      </c>
      <c r="T53" s="168" t="str">
        <f t="shared" ref="T53:AI53" ca="1" si="10">IF($G53=T$4,$B53&amp;";","")</f>
        <v/>
      </c>
      <c r="U53" s="168" t="str">
        <f t="shared" ca="1" si="10"/>
        <v/>
      </c>
      <c r="V53" s="168" t="str">
        <f t="shared" ca="1" si="10"/>
        <v/>
      </c>
      <c r="W53" s="168" t="str">
        <f t="shared" ca="1" si="10"/>
        <v/>
      </c>
      <c r="X53" s="168" t="str">
        <f t="shared" ca="1" si="10"/>
        <v/>
      </c>
      <c r="Y53" s="168" t="str">
        <f t="shared" ca="1" si="10"/>
        <v/>
      </c>
      <c r="Z53" s="168" t="str">
        <f t="shared" ca="1" si="10"/>
        <v/>
      </c>
      <c r="AA53" s="168" t="str">
        <f t="shared" ca="1" si="10"/>
        <v/>
      </c>
      <c r="AB53" s="168" t="str">
        <f t="shared" ca="1" si="10"/>
        <v/>
      </c>
      <c r="AC53" s="168" t="str">
        <f t="shared" ca="1" si="10"/>
        <v/>
      </c>
      <c r="AD53" s="168" t="str">
        <f t="shared" ca="1" si="10"/>
        <v/>
      </c>
      <c r="AE53" s="168" t="str">
        <f t="shared" ca="1" si="10"/>
        <v/>
      </c>
      <c r="AF53" s="168" t="str">
        <f t="shared" ca="1" si="10"/>
        <v/>
      </c>
      <c r="AG53" s="168" t="str">
        <f t="shared" ca="1" si="10"/>
        <v/>
      </c>
      <c r="AH53" s="168" t="str">
        <f t="shared" ca="1" si="10"/>
        <v/>
      </c>
      <c r="AI53" s="168" t="str">
        <f t="shared" ca="1" si="10"/>
        <v/>
      </c>
    </row>
    <row r="54" spans="1:36" x14ac:dyDescent="0.3">
      <c r="A54" s="189">
        <v>50</v>
      </c>
      <c r="B54" s="189">
        <f ca="1">OFFSET('Matriz de Riesgos'!$F$14,H54,0)</f>
        <v>0</v>
      </c>
      <c r="C54" s="189">
        <f ca="1">OFFSET('Matriz de Riesgos'!$G$8,H54,0)</f>
        <v>0</v>
      </c>
      <c r="D54" s="190">
        <f ca="1">OFFSET('Matriz de Riesgos'!$V$14,H54,0)</f>
        <v>0</v>
      </c>
      <c r="E54" s="190">
        <f ca="1">OFFSET('Matriz de Riesgos'!$W$14,H54,0)</f>
        <v>0</v>
      </c>
      <c r="F54" s="191">
        <f t="shared" ca="1" si="3"/>
        <v>0</v>
      </c>
      <c r="G54" s="168" t="str">
        <f t="shared" ca="1" si="0"/>
        <v>00</v>
      </c>
      <c r="H54" s="168">
        <f t="shared" si="5"/>
        <v>539</v>
      </c>
      <c r="I54" s="71"/>
      <c r="J54" s="201">
        <v>50</v>
      </c>
      <c r="K54" s="168" t="str">
        <f t="shared" ref="K54:AI54" ca="1" si="11">IF($G54=K$4,$B54&amp;";","")</f>
        <v/>
      </c>
      <c r="L54" s="168" t="str">
        <f t="shared" ca="1" si="11"/>
        <v/>
      </c>
      <c r="M54" s="168" t="str">
        <f t="shared" ca="1" si="11"/>
        <v/>
      </c>
      <c r="N54" s="168" t="str">
        <f t="shared" ca="1" si="11"/>
        <v/>
      </c>
      <c r="O54" s="168" t="str">
        <f t="shared" ca="1" si="11"/>
        <v/>
      </c>
      <c r="P54" s="168" t="str">
        <f t="shared" ca="1" si="11"/>
        <v/>
      </c>
      <c r="Q54" s="168" t="str">
        <f t="shared" ca="1" si="11"/>
        <v/>
      </c>
      <c r="R54" s="168" t="str">
        <f t="shared" ca="1" si="11"/>
        <v/>
      </c>
      <c r="S54" s="168" t="str">
        <f t="shared" ca="1" si="11"/>
        <v/>
      </c>
      <c r="T54" s="168" t="str">
        <f t="shared" ca="1" si="11"/>
        <v/>
      </c>
      <c r="U54" s="168" t="str">
        <f t="shared" ca="1" si="11"/>
        <v/>
      </c>
      <c r="V54" s="168" t="str">
        <f t="shared" ca="1" si="11"/>
        <v/>
      </c>
      <c r="W54" s="168" t="str">
        <f t="shared" ca="1" si="11"/>
        <v/>
      </c>
      <c r="X54" s="168" t="str">
        <f t="shared" ca="1" si="11"/>
        <v/>
      </c>
      <c r="Y54" s="168" t="str">
        <f t="shared" ca="1" si="11"/>
        <v/>
      </c>
      <c r="Z54" s="168" t="str">
        <f t="shared" ca="1" si="11"/>
        <v/>
      </c>
      <c r="AA54" s="168" t="str">
        <f t="shared" ca="1" si="11"/>
        <v/>
      </c>
      <c r="AB54" s="168" t="str">
        <f t="shared" ca="1" si="11"/>
        <v/>
      </c>
      <c r="AC54" s="168" t="str">
        <f t="shared" ca="1" si="11"/>
        <v/>
      </c>
      <c r="AD54" s="168" t="str">
        <f t="shared" ca="1" si="11"/>
        <v/>
      </c>
      <c r="AE54" s="168" t="str">
        <f t="shared" ca="1" si="11"/>
        <v/>
      </c>
      <c r="AF54" s="168" t="str">
        <f t="shared" ca="1" si="11"/>
        <v/>
      </c>
      <c r="AG54" s="168" t="str">
        <f t="shared" ca="1" si="11"/>
        <v/>
      </c>
      <c r="AH54" s="168" t="str">
        <f t="shared" ca="1" si="11"/>
        <v/>
      </c>
      <c r="AI54" s="168" t="str">
        <f t="shared" ca="1" si="11"/>
        <v/>
      </c>
    </row>
    <row r="55" spans="1:36" ht="72" x14ac:dyDescent="0.3">
      <c r="I55" s="71">
        <v>50</v>
      </c>
      <c r="J55" s="172" t="s">
        <v>120</v>
      </c>
      <c r="K55" s="173" t="str">
        <f ca="1">CONCATENATE(K5,K6,K7,K8,K9,K10,K11,K12,K13,K14,K15,K16,K17,K18,K19,K20,K21,K22,K23,K24,K25,K26,K27,K28,K29,K30,K31,K32,K33,K34,K35,K36,K37,K38,K39,K40,K41,K42,K43,K44,K45,K46,K47,K48,K49,K50,K51,K52,K53,K54)</f>
        <v/>
      </c>
      <c r="L55" s="174" t="str">
        <f t="shared" ref="L55:S55" ca="1" si="12">CONCATENATE(L5,L6,L7,L8,L9,L10,L11,L12,L13,L14,L15,L16,L17,L18,L19,L20,L21,L22,L23,L24,L25,L26,L27,L28,L29,L30,L31,L32,L33,L34,L35,L36,L37,L38,L39,L40,L41,L42,L43,L44,L45,L46,L47,L48,L49,L50,L51,L52,L53,L54)</f>
        <v/>
      </c>
      <c r="M55" s="175" t="str">
        <f t="shared" ca="1" si="12"/>
        <v>1-CU;2-CU;3-CU;4-DN;5-RS;6-DN;7-CU;8-CC;</v>
      </c>
      <c r="N55" s="176" t="str">
        <f t="shared" ca="1" si="12"/>
        <v/>
      </c>
      <c r="O55" s="177" t="str">
        <f t="shared" ca="1" si="12"/>
        <v/>
      </c>
      <c r="P55" s="173" t="str">
        <f t="shared" ca="1" si="12"/>
        <v/>
      </c>
      <c r="Q55" s="174" t="str">
        <f t="shared" ca="1" si="12"/>
        <v/>
      </c>
      <c r="R55" s="175" t="str">
        <f t="shared" ca="1" si="12"/>
        <v/>
      </c>
      <c r="S55" s="176" t="str">
        <f t="shared" ca="1" si="12"/>
        <v/>
      </c>
      <c r="T55" s="178" t="str">
        <f t="shared" ref="T55:AI55" ca="1" si="13">CONCATENATE(T5,T6,T7,T8,T9,T10,T11,T12,T13,T14,T15,T16,T17,T18,T19,T20,T21,T22,T23,T24,T25,T26,T27,T28,T29,T30,T31,T32,T33,T34,T35,T36,T37,T38,T39,T40,T41,T42,T43,T44,T45,T46,T47,T48,T49,T50,T51,T52,T53,T54)</f>
        <v/>
      </c>
      <c r="U55" s="179" t="str">
        <f t="shared" ca="1" si="13"/>
        <v/>
      </c>
      <c r="V55" s="175" t="str">
        <f t="shared" ca="1" si="13"/>
        <v/>
      </c>
      <c r="W55" s="176" t="str">
        <f t="shared" ca="1" si="13"/>
        <v/>
      </c>
      <c r="X55" s="180" t="str">
        <f t="shared" ca="1" si="13"/>
        <v/>
      </c>
      <c r="Y55" s="178" t="str">
        <f t="shared" ca="1" si="13"/>
        <v/>
      </c>
      <c r="Z55" s="179" t="str">
        <f t="shared" ca="1" si="13"/>
        <v/>
      </c>
      <c r="AA55" s="176" t="str">
        <f t="shared" ca="1" si="13"/>
        <v/>
      </c>
      <c r="AB55" s="181" t="str">
        <f t="shared" ca="1" si="13"/>
        <v/>
      </c>
      <c r="AC55" s="180" t="str">
        <f t="shared" ca="1" si="13"/>
        <v/>
      </c>
      <c r="AD55" s="182" t="str">
        <f t="shared" ca="1" si="13"/>
        <v/>
      </c>
      <c r="AE55" s="183" t="str">
        <f t="shared" ca="1" si="13"/>
        <v/>
      </c>
      <c r="AF55" s="184" t="str">
        <f t="shared" ca="1" si="13"/>
        <v/>
      </c>
      <c r="AG55" s="185" t="str">
        <f t="shared" ca="1" si="13"/>
        <v/>
      </c>
      <c r="AH55" s="186" t="str">
        <f t="shared" ca="1" si="13"/>
        <v/>
      </c>
      <c r="AI55" s="187" t="str">
        <f t="shared" ca="1" si="13"/>
        <v/>
      </c>
    </row>
    <row r="56" spans="1:36" x14ac:dyDescent="0.3">
      <c r="J56" s="202" t="s">
        <v>121</v>
      </c>
      <c r="K56" s="202">
        <f t="shared" ref="K56:S56" ca="1" si="14">$I$55-COUNTBLANK(K5:K54)</f>
        <v>0</v>
      </c>
      <c r="L56" s="202">
        <f t="shared" ca="1" si="14"/>
        <v>0</v>
      </c>
      <c r="M56" s="202">
        <f t="shared" ca="1" si="14"/>
        <v>8</v>
      </c>
      <c r="N56" s="202">
        <f t="shared" ca="1" si="14"/>
        <v>0</v>
      </c>
      <c r="O56" s="202">
        <f t="shared" ca="1" si="14"/>
        <v>0</v>
      </c>
      <c r="P56" s="202">
        <f t="shared" ca="1" si="14"/>
        <v>0</v>
      </c>
      <c r="Q56" s="202">
        <f t="shared" ca="1" si="14"/>
        <v>0</v>
      </c>
      <c r="R56" s="202">
        <f t="shared" ca="1" si="14"/>
        <v>0</v>
      </c>
      <c r="S56" s="202">
        <f t="shared" ca="1" si="14"/>
        <v>0</v>
      </c>
      <c r="T56" s="202">
        <f t="shared" ref="T56:AD56" ca="1" si="15">$I$55-COUNTBLANK(T5:T54)</f>
        <v>0</v>
      </c>
      <c r="U56" s="202">
        <f t="shared" ca="1" si="15"/>
        <v>0</v>
      </c>
      <c r="V56" s="202">
        <f t="shared" ca="1" si="15"/>
        <v>0</v>
      </c>
      <c r="W56" s="202">
        <f t="shared" ca="1" si="15"/>
        <v>0</v>
      </c>
      <c r="X56" s="202">
        <f t="shared" ca="1" si="15"/>
        <v>0</v>
      </c>
      <c r="Y56" s="202">
        <f t="shared" ca="1" si="15"/>
        <v>0</v>
      </c>
      <c r="Z56" s="202">
        <f t="shared" ca="1" si="15"/>
        <v>0</v>
      </c>
      <c r="AA56" s="202">
        <f t="shared" ca="1" si="15"/>
        <v>0</v>
      </c>
      <c r="AB56" s="202">
        <f t="shared" ca="1" si="15"/>
        <v>0</v>
      </c>
      <c r="AC56" s="202">
        <f t="shared" ca="1" si="15"/>
        <v>0</v>
      </c>
      <c r="AD56" s="202">
        <f t="shared" ca="1" si="15"/>
        <v>0</v>
      </c>
      <c r="AE56" s="202">
        <f t="shared" ref="AE56:AI56" ca="1" si="16">$I$55-COUNTBLANK(AE5:AE54)</f>
        <v>0</v>
      </c>
      <c r="AF56" s="202">
        <f t="shared" ca="1" si="16"/>
        <v>0</v>
      </c>
      <c r="AG56" s="202">
        <f t="shared" ca="1" si="16"/>
        <v>0</v>
      </c>
      <c r="AH56" s="202">
        <f t="shared" ca="1" si="16"/>
        <v>0</v>
      </c>
      <c r="AI56" s="202">
        <f t="shared" ca="1" si="16"/>
        <v>0</v>
      </c>
      <c r="AJ56" s="188">
        <f ca="1">SUM(K56:S56)</f>
        <v>8</v>
      </c>
    </row>
  </sheetData>
  <mergeCells count="2">
    <mergeCell ref="B1:G1"/>
    <mergeCell ref="B2:G2"/>
  </mergeCells>
  <printOptions gridLines="1"/>
  <pageMargins left="0.75" right="0.75" top="1" bottom="1" header="0" footer="0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</vt:i4>
      </vt:variant>
    </vt:vector>
  </HeadingPairs>
  <TitlesOfParts>
    <vt:vector size="38" baseType="lpstr">
      <vt:lpstr>Identificación y ValoraciónLAFT</vt:lpstr>
      <vt:lpstr>Matriz de Riesgos</vt:lpstr>
      <vt:lpstr>Matriz de Controles</vt:lpstr>
      <vt:lpstr>Mapa de Riesgo Inherente</vt:lpstr>
      <vt:lpstr>Mapa de Riesgo Residual</vt:lpstr>
      <vt:lpstr>Parametros</vt:lpstr>
      <vt:lpstr>Escala Calificacion</vt:lpstr>
      <vt:lpstr>Formato Riesgos</vt:lpstr>
      <vt:lpstr>Formato Controles</vt:lpstr>
      <vt:lpstr>RI LAFT</vt:lpstr>
      <vt:lpstr>RR LAFT</vt:lpstr>
      <vt:lpstr>AgenteGenerador</vt:lpstr>
      <vt:lpstr>Alcance</vt:lpstr>
      <vt:lpstr>Causas</vt:lpstr>
      <vt:lpstr>Comprensible</vt:lpstr>
      <vt:lpstr>Conforme</vt:lpstr>
      <vt:lpstr>Consecuencias</vt:lpstr>
      <vt:lpstr>Documentado</vt:lpstr>
      <vt:lpstr>Economico</vt:lpstr>
      <vt:lpstr>Efectividad</vt:lpstr>
      <vt:lpstr>EfectividadDetec</vt:lpstr>
      <vt:lpstr>EfectividadPrev</vt:lpstr>
      <vt:lpstr>Factor_Especifico</vt:lpstr>
      <vt:lpstr>Frecuencia</vt:lpstr>
      <vt:lpstr>Impacto</vt:lpstr>
      <vt:lpstr>Implementacion</vt:lpstr>
      <vt:lpstr>Indicadores</vt:lpstr>
      <vt:lpstr>NivelRiesgo</vt:lpstr>
      <vt:lpstr>NumeroRiesgos</vt:lpstr>
      <vt:lpstr>Objetivo</vt:lpstr>
      <vt:lpstr>Probabilidad</vt:lpstr>
      <vt:lpstr>Procesos</vt:lpstr>
      <vt:lpstr>ProcesosCOD</vt:lpstr>
      <vt:lpstr>Relacionados</vt:lpstr>
      <vt:lpstr>Responsables</vt:lpstr>
      <vt:lpstr>RiesgoAsociado</vt:lpstr>
      <vt:lpstr>Riesgos</vt:lpstr>
      <vt:lpstr>TipoControl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Vaynik</dc:creator>
  <cp:lastModifiedBy>castr</cp:lastModifiedBy>
  <dcterms:created xsi:type="dcterms:W3CDTF">2017-12-04T06:57:45Z</dcterms:created>
  <dcterms:modified xsi:type="dcterms:W3CDTF">2022-12-07T16:01:19Z</dcterms:modified>
</cp:coreProperties>
</file>